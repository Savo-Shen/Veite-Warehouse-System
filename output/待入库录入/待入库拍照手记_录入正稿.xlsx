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avo_shen/Programs/仓库出入库管理系统/output/待入库录入/"/>
    </mc:Choice>
  </mc:AlternateContent>
  <xr:revisionPtr revIDLastSave="0" documentId="13_ncr:1_{933DEA20-51AE-554C-992F-9B2426AF6D28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说明" sheetId="1" r:id="rId1"/>
    <sheet name="待入库明细" sheetId="2" r:id="rId2"/>
    <sheet name="品牌对照" sheetId="3" r:id="rId3"/>
    <sheet name="存疑清单" sheetId="4" r:id="rId4"/>
    <sheet name="系统现有分类" sheetId="5" r:id="rId5"/>
  </sheets>
  <definedNames>
    <definedName name="_xlnm._FilterDatabase" localSheetId="1" hidden="1">待入库明细!$A$1:$P$109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4" i="2" l="1"/>
  <c r="J92" i="2"/>
  <c r="J86" i="2"/>
  <c r="J78" i="2"/>
  <c r="J74" i="2"/>
  <c r="J69" i="2"/>
  <c r="J68" i="2"/>
  <c r="J65" i="2"/>
  <c r="J62" i="2"/>
  <c r="J61" i="2"/>
  <c r="J59" i="2"/>
  <c r="J50" i="2"/>
  <c r="J31" i="2"/>
  <c r="J30" i="2"/>
  <c r="J11" i="2"/>
  <c r="J9" i="2"/>
  <c r="B29" i="1"/>
  <c r="B28" i="1"/>
  <c r="B27" i="1"/>
  <c r="B26" i="1"/>
  <c r="B25" i="1"/>
  <c r="B23" i="1"/>
  <c r="J111" i="2" l="1"/>
  <c r="B24" i="1"/>
</calcChain>
</file>

<file path=xl/sharedStrings.xml><?xml version="1.0" encoding="utf-8"?>
<sst xmlns="http://schemas.openxmlformats.org/spreadsheetml/2006/main" count="1540" uniqueCount="753">
  <si>
    <t>待入库拍照手记 → 录入底稿</t>
  </si>
  <si>
    <t>来源：/private/tmp/待入库拍照图 共 17 张照片（IMG_3087 ~ IMG_3103）</t>
  </si>
  <si>
    <t>用途</t>
  </si>
  <si>
    <t>这份表是「手写记账本 → 系统录入」的中间底稿。字段名和取值都按 ry-vue 库的 wms_item / wms_item_sku / wms_item_brand / wms_item_category 结构来对齐，确认后可直接生成入库单。</t>
  </si>
  <si>
    <t>先看哪一列</t>
  </si>
  <si>
    <t>① 先看【存疑/需确认】列（黄底）——这些是我认不准或原稿本身有涂改的；② 再看【系统比对结果】列。</t>
  </si>
  <si>
    <t>系统比对结果</t>
  </si>
  <si>
    <t>已存在（可直接入库）= 绿底，分类+SKU+品牌 都能在库里找到；
需新建SKU / 需新建分类 = 橙底；
SKU已存在但该品牌下没有 = 需要给这个品牌建一条商品。</t>
  </si>
  <si>
    <t>数量列</t>
  </si>
  <si>
    <t>凡是原稿写成多笔相加的（如「5+12个」「24+81=105」），【数量】列写的是 Excel 公式，改任一加数会自动重算；【数量原文】保留手写原样。</t>
  </si>
  <si>
    <t>单价列</t>
  </si>
  <si>
    <t>只有 IMG_3087 / IMG_3088 / IMG_3089 三页记了单价。原稿里有些写成「94-61」这种两个数，我没有猜，原样放在【单价原文】里，【单价(元)】留空等你确认。IMG_3090 以后各页原稿都没有单价。</t>
  </si>
  <si>
    <t>品牌简写</t>
  </si>
  <si>
    <t>原稿用「山 / 东 / 气 / YYC / 三正」等简写，对照关系见【品牌对照】页。其中「山」的归属有风险，务必先确认。</t>
  </si>
  <si>
    <t>确认列</t>
  </si>
  <si>
    <t>最右边黄色【确认】列留给你打勾（填 OK / 改 / 删）。</t>
  </si>
  <si>
    <t>示例行</t>
  </si>
  <si>
    <t>序号 20 | IMG_3087 | 4 | TN 32X20S  10个 ✓ 53 | TN双杆气缸（亚德客型） | TN双杆气缸 | （空） | TN32-20 | 10个 | 10 | 个 | 53 | 53.00 | 已存在（可直接入库） | （空） | OK</t>
  </si>
  <si>
    <t>数据统计</t>
  </si>
  <si>
    <t>明细总行数</t>
  </si>
  <si>
    <t>数量合计（件）</t>
  </si>
  <si>
    <t>有存疑标注的行数</t>
  </si>
  <si>
    <t>可直接入库的行数</t>
  </si>
  <si>
    <t>需新建SKU的行数</t>
  </si>
  <si>
    <t>需新建分类的行数</t>
  </si>
  <si>
    <t>需给该品牌建商品</t>
  </si>
  <si>
    <t>序号</t>
  </si>
  <si>
    <t>照片</t>
  </si>
  <si>
    <t>页内行</t>
  </si>
  <si>
    <t>原始手写记录</t>
  </si>
  <si>
    <t>建议分类</t>
  </si>
  <si>
    <t>建议商品名称</t>
  </si>
  <si>
    <t>品牌</t>
  </si>
  <si>
    <t>建议SKU/规格</t>
  </si>
  <si>
    <t>数量原文</t>
  </si>
  <si>
    <t>数量</t>
  </si>
  <si>
    <t>单位</t>
  </si>
  <si>
    <t>单价原文</t>
  </si>
  <si>
    <t>单价(元)</t>
  </si>
  <si>
    <t>存疑/需确认</t>
  </si>
  <si>
    <t>确认</t>
  </si>
  <si>
    <t>IMG_3087</t>
  </si>
  <si>
    <t>MGPM 25X75 三轴气缸  13个 ✓ 94-61</t>
  </si>
  <si>
    <t>MGPM三轴气缸</t>
  </si>
  <si>
    <t>13个</t>
  </si>
  <si>
    <t>个</t>
  </si>
  <si>
    <t>需新建分类</t>
  </si>
  <si>
    <t>红笔记录；单价写成两个数(94/61)，需确认哪个是成本价；分类需新建</t>
  </si>
  <si>
    <t>TN 32X100S  1分  2个 ✓ 89-99</t>
  </si>
  <si>
    <t>TN双杆气缸（亚德客型）</t>
  </si>
  <si>
    <t>原文尾部带 S；单价两个数(89/99) 待确认</t>
  </si>
  <si>
    <t>TN 32X25S  5个 ✓ 55-95</t>
  </si>
  <si>
    <t>单价两个数待确认</t>
  </si>
  <si>
    <t>10个</t>
  </si>
  <si>
    <t>50</t>
  </si>
  <si>
    <t>TN 32X30S  5个 ✓ 55</t>
  </si>
  <si>
    <t>数量原写58后改5，请确认</t>
  </si>
  <si>
    <t>气源处理类?</t>
  </si>
  <si>
    <t>自动排水器</t>
  </si>
  <si>
    <t>XFC400</t>
  </si>
  <si>
    <t>43个</t>
  </si>
  <si>
    <t>需新建SKU</t>
  </si>
  <si>
    <t>TN 25X25S 1分  5+12个 ✓ 45</t>
  </si>
  <si>
    <t>45</t>
  </si>
  <si>
    <t>数量两笔 5+12</t>
  </si>
  <si>
    <t>TN 25X15S  30(涂改)…个 ✓ 40/42</t>
  </si>
  <si>
    <t>数量被涂改无法辨认，必须现场点数；单价 40 改 42</t>
  </si>
  <si>
    <t>7个</t>
  </si>
  <si>
    <t>28</t>
  </si>
  <si>
    <t>9个</t>
  </si>
  <si>
    <t>TN 20X25S M5  8个 ✓ 32</t>
  </si>
  <si>
    <t>8个</t>
  </si>
  <si>
    <t>32</t>
  </si>
  <si>
    <t>备注 M5 接口</t>
  </si>
  <si>
    <t>35</t>
  </si>
  <si>
    <t>IMG_3088</t>
  </si>
  <si>
    <t>1个</t>
  </si>
  <si>
    <t>30</t>
  </si>
  <si>
    <t>TN 16X25S M5  8个 ✓ 25</t>
  </si>
  <si>
    <t>备注 M5</t>
  </si>
  <si>
    <t>22</t>
  </si>
  <si>
    <t>21</t>
  </si>
  <si>
    <t>TN 10X15S M5  3个 ✓ 22</t>
  </si>
  <si>
    <t>3个</t>
  </si>
  <si>
    <t>20</t>
  </si>
  <si>
    <t>MGPM 20X20S  23个 ✓ 33-50</t>
  </si>
  <si>
    <t>MHY2-20D  1个  89-128</t>
  </si>
  <si>
    <t>MHY2 气动手指</t>
  </si>
  <si>
    <t>MHY2-20D</t>
  </si>
  <si>
    <t>型号首字被涂改，疑为 MHY2-20D；单价两个数</t>
  </si>
  <si>
    <t>HFZ-16D  1个  65-51</t>
  </si>
  <si>
    <t>HFZ 气动手指</t>
  </si>
  <si>
    <t>HFZ-16D</t>
  </si>
  <si>
    <t>单价两个数</t>
  </si>
  <si>
    <t>2分牙 50表面 10kg 1MPa  109个  8</t>
  </si>
  <si>
    <t>压力表</t>
  </si>
  <si>
    <t>2分牙50面板 10kg/1MPa</t>
  </si>
  <si>
    <t>109个</t>
  </si>
  <si>
    <t>8</t>
  </si>
  <si>
    <t>是压力表/气压表，分类待定</t>
  </si>
  <si>
    <t>电磁水阀</t>
  </si>
  <si>
    <t>Q22XD-2L 220V 全铜</t>
  </si>
  <si>
    <t>118个</t>
  </si>
  <si>
    <t>(接上行) 23   1个</t>
  </si>
  <si>
    <t>该行仅写「23」和「1个」，含义不明，需现场核对</t>
  </si>
  <si>
    <t>FDF-8 220V</t>
  </si>
  <si>
    <t>FB2E-V 220V 3分牙  2+14个+6+4  37</t>
  </si>
  <si>
    <t>FB2E-V 220V 3分牙</t>
  </si>
  <si>
    <t>2+14+6+4</t>
  </si>
  <si>
    <t>37</t>
  </si>
  <si>
    <t>数量为多笔相加，字迹潦草，请复核</t>
  </si>
  <si>
    <t>FB2E-V 220V 2分牙  24个  35</t>
  </si>
  <si>
    <t>FB2E-V 220V 2分牙</t>
  </si>
  <si>
    <t>24个</t>
  </si>
  <si>
    <t>数量有涂改</t>
  </si>
  <si>
    <t>IMG_3089</t>
  </si>
  <si>
    <t>配件?</t>
  </si>
  <si>
    <t>HR30 缓冲器</t>
  </si>
  <si>
    <t>HR30</t>
  </si>
  <si>
    <t>22+1</t>
  </si>
  <si>
    <t>US 蒸汽电磁阀</t>
  </si>
  <si>
    <t>US-25 220V</t>
  </si>
  <si>
    <t>29个</t>
  </si>
  <si>
    <t>US-20 220V</t>
  </si>
  <si>
    <t>US-20K 220V 常开  9个</t>
  </si>
  <si>
    <t>US-20K 220V 常开</t>
  </si>
  <si>
    <t>无单价</t>
  </si>
  <si>
    <t>气动电磁阀?</t>
  </si>
  <si>
    <t>DQK 电磁阀</t>
  </si>
  <si>
    <t>DQK1442</t>
  </si>
  <si>
    <t>DQK 2422  7个</t>
  </si>
  <si>
    <t>DQK2422</t>
  </si>
  <si>
    <t>DQK 1422 220V  10个  67</t>
  </si>
  <si>
    <t>DQK1422 220V</t>
  </si>
  <si>
    <t>JYC牌 SFC2000-1/4 三联体  9个</t>
  </si>
  <si>
    <t>三联体</t>
  </si>
  <si>
    <t>JYC</t>
  </si>
  <si>
    <t>SFC2000-1/4</t>
  </si>
  <si>
    <t>型号中间字迹涂改，疑为 SFC</t>
  </si>
  <si>
    <t>百灵 二联件 2010-02  28个</t>
  </si>
  <si>
    <t>调压过滤器（二联件）</t>
  </si>
  <si>
    <t>调压过滤器</t>
  </si>
  <si>
    <t>百灵（BLCH）</t>
  </si>
  <si>
    <t>2010-02</t>
  </si>
  <si>
    <t>28个</t>
  </si>
  <si>
    <t>百灵 AFR2000-02  295个  49</t>
  </si>
  <si>
    <t>AFR2000-02</t>
  </si>
  <si>
    <t>295个</t>
  </si>
  <si>
    <t>DQK 1322 24V  1个  67</t>
  </si>
  <si>
    <t>DQK1322 24V</t>
  </si>
  <si>
    <t>(整行划掉) 百灵 AR2000-02</t>
  </si>
  <si>
    <t>—</t>
  </si>
  <si>
    <t>该行已被划掉，不入库</t>
  </si>
  <si>
    <t>IMG_3090</t>
  </si>
  <si>
    <t>轴向柱塞泵 SCY14-1B 公称排量10  2+1</t>
  </si>
  <si>
    <t>轴向柱塞泵</t>
  </si>
  <si>
    <t>台</t>
  </si>
  <si>
    <t>整页无单价</t>
  </si>
  <si>
    <t>MCY14-1B 25  5(涂改)+10</t>
  </si>
  <si>
    <t>MYCY 63  1</t>
  </si>
  <si>
    <t>1</t>
  </si>
  <si>
    <t>型号疑为 MYCY14-1B</t>
  </si>
  <si>
    <t>YCY 80  1</t>
  </si>
  <si>
    <t>型号疑为 YCY14-1B</t>
  </si>
  <si>
    <t>2</t>
  </si>
  <si>
    <t>MCY14-1B 2.5  1</t>
  </si>
  <si>
    <t>型号中段有涂改</t>
  </si>
  <si>
    <t>抽油泵 3-PHASE 1/4HP  1</t>
  </si>
  <si>
    <t>抽油泵</t>
  </si>
  <si>
    <t>3-PHASE 1/4HP</t>
  </si>
  <si>
    <t>液压油泵</t>
  </si>
  <si>
    <t>3</t>
  </si>
  <si>
    <t>6</t>
  </si>
  <si>
    <t>PV2R1-19  1-1=0</t>
  </si>
  <si>
    <t>结存为 0，不需入库</t>
  </si>
  <si>
    <t>5</t>
  </si>
  <si>
    <t>IMG_3091</t>
  </si>
  <si>
    <t>卓良 MSV-86522R 机械阀  1</t>
  </si>
  <si>
    <t>手动阀</t>
  </si>
  <si>
    <t>气动手动阀</t>
  </si>
  <si>
    <t>卓良(zholo)</t>
  </si>
  <si>
    <t>MSV-86522R</t>
  </si>
  <si>
    <t>盛达 SD250612 机械阀  13</t>
  </si>
  <si>
    <t>盛达(SDPC)</t>
  </si>
  <si>
    <t>SD250612</t>
  </si>
  <si>
    <t>13</t>
  </si>
  <si>
    <t>盛达 S230805A 推拉手动阀  9</t>
  </si>
  <si>
    <t>S230805A</t>
  </si>
  <si>
    <t>9</t>
  </si>
  <si>
    <t>盛达 JM-02 机械阀  4</t>
  </si>
  <si>
    <t>JM-02</t>
  </si>
  <si>
    <t>4</t>
  </si>
  <si>
    <t>盛达 MOV-02 机械阀  30</t>
  </si>
  <si>
    <t>MOV-02</t>
  </si>
  <si>
    <t>盛达 JM-01 机械阀  12</t>
  </si>
  <si>
    <t>JM-01</t>
  </si>
  <si>
    <t>12</t>
  </si>
  <si>
    <t>数量前有涂改</t>
  </si>
  <si>
    <t>盛达 S230805  16</t>
  </si>
  <si>
    <t>S230805</t>
  </si>
  <si>
    <t>16</t>
  </si>
  <si>
    <t>S0230605A  2+2+15</t>
  </si>
  <si>
    <t>S0230605A</t>
  </si>
  <si>
    <t>2+2+15</t>
  </si>
  <si>
    <t>数量末位字迹潦草，请复核</t>
  </si>
  <si>
    <t>熙庆(?) Q25 RS-L6 推拉阀  1+1</t>
  </si>
  <si>
    <t>熙庆(?)</t>
  </si>
  <si>
    <t>Q25 RS-L6</t>
  </si>
  <si>
    <t>1+1</t>
  </si>
  <si>
    <t>品牌两字辨认为「熙庆」，库中无此品牌，请确认</t>
  </si>
  <si>
    <t>无(品牌) 3R210-08 推拉阀  34</t>
  </si>
  <si>
    <t>无</t>
  </si>
  <si>
    <t>3R210-08</t>
  </si>
  <si>
    <t>34</t>
  </si>
  <si>
    <t>型号前有涂改</t>
  </si>
  <si>
    <t>4R210-08</t>
  </si>
  <si>
    <t>QTYH-08  0.5-30MPa  1</t>
  </si>
  <si>
    <t>QTYH 调压阀</t>
  </si>
  <si>
    <t>QTYH-08 0.5-30MPa</t>
  </si>
  <si>
    <t>AF2000  30</t>
  </si>
  <si>
    <t>AF 过滤器</t>
  </si>
  <si>
    <t>AF2000</t>
  </si>
  <si>
    <t>AL2000  3</t>
  </si>
  <si>
    <t>AL 油雾器</t>
  </si>
  <si>
    <t>AL2000</t>
  </si>
  <si>
    <t>润滑器?</t>
  </si>
  <si>
    <t>斜阀式油杯</t>
  </si>
  <si>
    <t>B型 50cm² M14X1.5</t>
  </si>
  <si>
    <t>B型 25cm² M14X1.5</t>
  </si>
  <si>
    <t>AC3660-2 缓冲器  2</t>
  </si>
  <si>
    <t>缓冲器</t>
  </si>
  <si>
    <t>AC3660-2</t>
  </si>
  <si>
    <t>HR-60  1</t>
  </si>
  <si>
    <t>HR-60</t>
  </si>
  <si>
    <t>HR-15  1</t>
  </si>
  <si>
    <t>HR-15</t>
  </si>
  <si>
    <t>IMG_3092</t>
  </si>
  <si>
    <t>AC4225  5</t>
  </si>
  <si>
    <t>AC 三联件</t>
  </si>
  <si>
    <t>AC4225</t>
  </si>
  <si>
    <t>AC2050-2  3</t>
  </si>
  <si>
    <t>AC2050-2</t>
  </si>
  <si>
    <t>AC2525-02  3</t>
  </si>
  <si>
    <t>AC2525-02</t>
  </si>
  <si>
    <t>末尾有涂改</t>
  </si>
  <si>
    <t>AC2540-2  2</t>
  </si>
  <si>
    <t>AC2540-2</t>
  </si>
  <si>
    <t>助推器(?) 110  6</t>
  </si>
  <si>
    <t>110</t>
  </si>
  <si>
    <t>品名三字辨认不确定，疑为「助推器」</t>
  </si>
  <si>
    <t>NAR2000  39</t>
  </si>
  <si>
    <t>NAR 调压过滤器</t>
  </si>
  <si>
    <t>NAR2000</t>
  </si>
  <si>
    <t>39</t>
  </si>
  <si>
    <t>4A320-10  15</t>
  </si>
  <si>
    <t>4A 气控阀</t>
  </si>
  <si>
    <t>4A320-10</t>
  </si>
  <si>
    <t>15</t>
  </si>
  <si>
    <t>4A230C-08  45</t>
  </si>
  <si>
    <t>4A230C-08</t>
  </si>
  <si>
    <t>4A210-08  8+15+1</t>
  </si>
  <si>
    <t>4A210-08</t>
  </si>
  <si>
    <t>8+15+1</t>
  </si>
  <si>
    <t>4A110-06  45</t>
  </si>
  <si>
    <t>4A110-06</t>
  </si>
  <si>
    <t>4A410-15  4</t>
  </si>
  <si>
    <t>4A410-15</t>
  </si>
  <si>
    <t>4A220-08  12</t>
  </si>
  <si>
    <t>4A220-08</t>
  </si>
  <si>
    <t>XQ250622 推拉阀  1</t>
  </si>
  <si>
    <t>XQ250622</t>
  </si>
  <si>
    <t>XQ230421 手动阀  35</t>
  </si>
  <si>
    <t>XQ230421</t>
  </si>
  <si>
    <t>数量有涂改，疑为 35</t>
  </si>
  <si>
    <t>Q22HD-15</t>
  </si>
  <si>
    <t>Q22HD-40</t>
  </si>
  <si>
    <t>AXC200-08  50</t>
  </si>
  <si>
    <t>AXC200-08</t>
  </si>
  <si>
    <t>浮动接头 14X1.5  28+2+1</t>
  </si>
  <si>
    <t>浮动接头</t>
  </si>
  <si>
    <t>M14X1.5</t>
  </si>
  <si>
    <t>28+2+1</t>
  </si>
  <si>
    <t>浮动接头 20X1.5  20</t>
  </si>
  <si>
    <t>M20X1.5</t>
  </si>
  <si>
    <t>浮动接头 16X1.5  10+10+1</t>
  </si>
  <si>
    <t>M16X1.5</t>
  </si>
  <si>
    <t>10+10+1</t>
  </si>
  <si>
    <t>浮动接头 10X1.25  1+19+21</t>
  </si>
  <si>
    <t>M10X1.25</t>
  </si>
  <si>
    <t>1+19+21</t>
  </si>
  <si>
    <t>IMG_3093</t>
  </si>
  <si>
    <t>浮动接头 M8X1.25  28</t>
  </si>
  <si>
    <t>M8X1.25</t>
  </si>
  <si>
    <t>浮动接头 M12X1.5  76</t>
  </si>
  <si>
    <t>M12X1.5</t>
  </si>
  <si>
    <t>76</t>
  </si>
  <si>
    <t>浮动接头 M6X1  20+18+2</t>
  </si>
  <si>
    <t>M6X1</t>
  </si>
  <si>
    <t>20+18+2</t>
  </si>
  <si>
    <t>浮动接头 M5X0.8  24</t>
  </si>
  <si>
    <t>M5X0.8</t>
  </si>
  <si>
    <t>24</t>
  </si>
  <si>
    <t>JA10-4-070  21</t>
  </si>
  <si>
    <t>JA 浮动接头</t>
  </si>
  <si>
    <t>JA10-4-070</t>
  </si>
  <si>
    <t>浮动接头 M22X1.5  18+2</t>
  </si>
  <si>
    <t>M22X1.5</t>
  </si>
  <si>
    <t>18+2</t>
  </si>
  <si>
    <t>浮动接头 M18X1.5  17+3</t>
  </si>
  <si>
    <t>M18X1.5</t>
  </si>
  <si>
    <t>17+3</t>
  </si>
  <si>
    <t>液压接头 不锈钢 6分套管  11</t>
  </si>
  <si>
    <t>不锈钢接头</t>
  </si>
  <si>
    <t>6分套管</t>
  </si>
  <si>
    <t>11</t>
  </si>
  <si>
    <t>「套管」二字辨认不确定</t>
  </si>
  <si>
    <t>液压接头 不锈钢 4分  1</t>
  </si>
  <si>
    <t>4分</t>
  </si>
  <si>
    <t>4A420-15  1</t>
  </si>
  <si>
    <t>4A420-15</t>
  </si>
  <si>
    <t>盛达 RE-02  39</t>
  </si>
  <si>
    <t>排气阀?</t>
  </si>
  <si>
    <t>RE 消声器</t>
  </si>
  <si>
    <t>RE-02</t>
  </si>
  <si>
    <t>盛达 SE-06 2分  10+7</t>
  </si>
  <si>
    <t>SE 消声器</t>
  </si>
  <si>
    <t>SE-06 2分</t>
  </si>
  <si>
    <t>10+7</t>
  </si>
  <si>
    <t>盛达 SE-04 4分  3个</t>
  </si>
  <si>
    <t>SE-04 4分</t>
  </si>
  <si>
    <t>盛达 RE-06  27</t>
  </si>
  <si>
    <t>RE-06</t>
  </si>
  <si>
    <t>27</t>
  </si>
  <si>
    <t>数量前有多处涂改</t>
  </si>
  <si>
    <t>(整行划掉)</t>
  </si>
  <si>
    <t>该行已划掉，不入库</t>
  </si>
  <si>
    <t>盛达 RE-03  27</t>
  </si>
  <si>
    <t>RE-03</t>
  </si>
  <si>
    <t>盛达 RE-01  24+81=105</t>
  </si>
  <si>
    <t>RE-01</t>
  </si>
  <si>
    <t>24+81=105</t>
  </si>
  <si>
    <t>S3R-M5 机械阀  15</t>
  </si>
  <si>
    <t>S3R-M5</t>
  </si>
  <si>
    <t>ST-01 快排阀  18</t>
  </si>
  <si>
    <t>排气阀</t>
  </si>
  <si>
    <t>快速排气阀</t>
  </si>
  <si>
    <t>ST-01</t>
  </si>
  <si>
    <t>18</t>
  </si>
  <si>
    <t>ST-08 快排阀  2</t>
  </si>
  <si>
    <t>ST-08</t>
  </si>
  <si>
    <t>S3H-M5  亚锯爪(?)  1</t>
  </si>
  <si>
    <t>手动阀?</t>
  </si>
  <si>
    <t>S3H-M5</t>
  </si>
  <si>
    <t>备注三字辨认不出，原文形似「亚锯爪」</t>
  </si>
  <si>
    <t>IMG_3094</t>
  </si>
  <si>
    <t>QE-04  63</t>
  </si>
  <si>
    <t>QE-04</t>
  </si>
  <si>
    <t>63</t>
  </si>
  <si>
    <t>QE-02  17</t>
  </si>
  <si>
    <t>QE-02</t>
  </si>
  <si>
    <t>17</t>
  </si>
  <si>
    <t>液压单向阀 GTC-02  32</t>
  </si>
  <si>
    <t>液压手动阀?</t>
  </si>
  <si>
    <t>液压单向阀</t>
  </si>
  <si>
    <t>GTC-02</t>
  </si>
  <si>
    <t>液压单向阀 GTC-03  49+1</t>
  </si>
  <si>
    <t>GTC-03</t>
  </si>
  <si>
    <t>49+1</t>
  </si>
  <si>
    <t>HSV-08  1</t>
  </si>
  <si>
    <t>HSV 手动阀</t>
  </si>
  <si>
    <t>HSV-08</t>
  </si>
  <si>
    <t>HSV-10 3分(?)  37</t>
  </si>
  <si>
    <t>HSV-10 3分</t>
  </si>
  <si>
    <t>「3分」二字辨认不确定</t>
  </si>
  <si>
    <t>LZT-1005G 流量计  10</t>
  </si>
  <si>
    <t>流量计</t>
  </si>
  <si>
    <t>LZT-1005G</t>
  </si>
  <si>
    <t>10</t>
  </si>
  <si>
    <t>型号首字母辨认为 LZT</t>
  </si>
  <si>
    <t>油压表 50kg  6</t>
  </si>
  <si>
    <t>油压表</t>
  </si>
  <si>
    <t>50kg</t>
  </si>
  <si>
    <t>油压表 40kg  1</t>
  </si>
  <si>
    <t>40kg</t>
  </si>
  <si>
    <t>MAL 20X75-40  1 ✓</t>
  </si>
  <si>
    <t>MAL铝合金迷你气缸（亚德客型）</t>
  </si>
  <si>
    <t>库中已有近似 SKU「20*75-40」</t>
  </si>
  <si>
    <t>MAL 40X25  11 ✓</t>
  </si>
  <si>
    <t>IMG_3095</t>
  </si>
  <si>
    <t>宝塔插8 双头 / 宝塔直通  100+400=500</t>
  </si>
  <si>
    <t>宝塔接头</t>
  </si>
  <si>
    <t>宝塔直通</t>
  </si>
  <si>
    <t>8 双头</t>
  </si>
  <si>
    <t>100+400=500</t>
  </si>
  <si>
    <t>整页无单价；「宝塔插8双头」与「宝塔直通」写在同一行，需确认是否同一品</t>
  </si>
  <si>
    <t>宝塔插 8-6  600</t>
  </si>
  <si>
    <t>8-6</t>
  </si>
  <si>
    <t>600</t>
  </si>
  <si>
    <t>宝塔插 8-10  200+94</t>
  </si>
  <si>
    <t>8-10</t>
  </si>
  <si>
    <t>200+94</t>
  </si>
  <si>
    <t>第二笔前有涂改</t>
  </si>
  <si>
    <t>宝塔插 10  71</t>
  </si>
  <si>
    <t>71</t>
  </si>
  <si>
    <t>数量前一串被划掉，仅剩 71</t>
  </si>
  <si>
    <t>宝塔三通 10  298</t>
  </si>
  <si>
    <t>宝塔三通</t>
  </si>
  <si>
    <t>298</t>
  </si>
  <si>
    <t>库中「宝塔接头」下暂无三通商品，可能需新建</t>
  </si>
  <si>
    <t>宝塔三通 8  611</t>
  </si>
  <si>
    <t>611</t>
  </si>
  <si>
    <t>宝塔三通 6  89</t>
  </si>
  <si>
    <t>89</t>
  </si>
  <si>
    <t>IMG_3096</t>
  </si>
  <si>
    <t>8铜球  1603</t>
  </si>
  <si>
    <t>铜球</t>
  </si>
  <si>
    <t>1603</t>
  </si>
  <si>
    <t>宝塔直通 2  15</t>
  </si>
  <si>
    <t>规格「2」存疑，可能是 12</t>
  </si>
  <si>
    <t>宝塔直通 16  1</t>
  </si>
  <si>
    <t>宝塔直通 6  76</t>
  </si>
  <si>
    <t>CDJ2B 10X40  50</t>
  </si>
  <si>
    <t>CDJ2B 针型气缸</t>
  </si>
  <si>
    <t>CDJ2B10-40</t>
  </si>
  <si>
    <t>自安全栓(?)  731</t>
  </si>
  <si>
    <t>731</t>
  </si>
  <si>
    <t>品名首字辨认不出（形似「自」或「白」），请确认</t>
  </si>
  <si>
    <t>鱼眼杆端轴承 M20X1.5  29</t>
  </si>
  <si>
    <t>配件</t>
  </si>
  <si>
    <t>鱼眼接头</t>
  </si>
  <si>
    <t>29</t>
  </si>
  <si>
    <t>鱼眼杆端轴承 M16X1.5  15</t>
  </si>
  <si>
    <t>鱼眼杆端轴承 M18X1.5  1</t>
  </si>
  <si>
    <t>鱼眼杆端轴承 M12X1.25  37</t>
  </si>
  <si>
    <t>M12X1.25</t>
  </si>
  <si>
    <t>鱼眼杆端轴承 M10X1.25  44</t>
  </si>
  <si>
    <t>44</t>
  </si>
  <si>
    <t>IMG_3097</t>
  </si>
  <si>
    <t>(标题字迹辨认不出) 80X30  2</t>
  </si>
  <si>
    <t>页首品名（2~3字）辨认不出；规格形如缸径×行程，疑为气缸类</t>
  </si>
  <si>
    <t>80X20  2</t>
  </si>
  <si>
    <t>同上</t>
  </si>
  <si>
    <t>63X25  4</t>
  </si>
  <si>
    <t>同上；规格末位有涂改</t>
  </si>
  <si>
    <t>IMG_3098</t>
  </si>
  <si>
    <t>DPU直通</t>
  </si>
  <si>
    <t>亚一气动（YYC）</t>
  </si>
  <si>
    <t>气动之星（CYKL）</t>
  </si>
  <si>
    <t>DPG 6-4  (山耐斯)+50，400</t>
  </si>
  <si>
    <t>DPG-变径直通</t>
  </si>
  <si>
    <t>山耐斯</t>
  </si>
  <si>
    <t>手写「山耐斯」；库中同类快插接头多挂在【山克斯（SUNCOS）】下，请确认到底是哪一个品牌</t>
  </si>
  <si>
    <t>DPG 12-10  ~~150~~ 250</t>
  </si>
  <si>
    <t>原写 150 划掉改 250</t>
  </si>
  <si>
    <t>DSL-L型节流阀</t>
  </si>
  <si>
    <t>DSL 4-M5  (山耐斯)+325</t>
  </si>
  <si>
    <t>DSL 4-02  (山耐斯)+225</t>
  </si>
  <si>
    <t>数量有涂改后改写 225；手写「山耐斯」；库中同类快插接头多挂在【山克斯（SUNCOS）】下，请确认到底是哪一个品牌</t>
  </si>
  <si>
    <t>IMG_3099</t>
  </si>
  <si>
    <t>DSL 6-02  (山)+175</t>
  </si>
  <si>
    <t>DSL 6-04  (山)+75</t>
  </si>
  <si>
    <t>DSL 8-04  50，(山)+50</t>
  </si>
  <si>
    <t>DSL 10-01  (山)+400</t>
  </si>
  <si>
    <t>DSL 12-04  (三正)+18，(山)+50</t>
  </si>
  <si>
    <t>三正气动</t>
  </si>
  <si>
    <t>PE 14  (SUNCOS)+40</t>
  </si>
  <si>
    <t>DPE-T型三通</t>
  </si>
  <si>
    <t>山克斯（SUNCOS）</t>
  </si>
  <si>
    <t>括号内先写一个字后改写 SUNCOS</t>
  </si>
  <si>
    <t>PEG-T型三通</t>
  </si>
  <si>
    <t>东特</t>
  </si>
  <si>
    <t>PEG 12-10-12  东50  山25</t>
  </si>
  <si>
    <t>IMG_3100</t>
  </si>
  <si>
    <t>PE 12  东50  50</t>
  </si>
  <si>
    <t>第二个 50 未标品牌</t>
  </si>
  <si>
    <t>PEG 10-12-10  山75</t>
  </si>
  <si>
    <t>PEG 8-12-8  山50  东50</t>
  </si>
  <si>
    <t>PEG 8-6-8  山300</t>
  </si>
  <si>
    <t>PEG 8-8-6  32X60+</t>
  </si>
  <si>
    <t>数量写作「32×60+」，疑为 32 盒×60 只，需确认实际只数</t>
  </si>
  <si>
    <t>PV 04  山450</t>
  </si>
  <si>
    <t>DPV-L型二通</t>
  </si>
  <si>
    <t>PV 06  YYC+50，(山)+500+550+500+2200</t>
  </si>
  <si>
    <t>多笔相加，其中 +2200 写在行上方，请重点核对；手写「山耐斯」；库中同类快插接头多挂在【山克斯（SUNCOS）】下，请确认到底是哪一个品牌</t>
  </si>
  <si>
    <t>PV 10  YYC+50，山+50</t>
  </si>
  <si>
    <t>PV 12  山+450</t>
  </si>
  <si>
    <t>DPW-Y型变径</t>
  </si>
  <si>
    <t>DPY-Y型三通</t>
  </si>
  <si>
    <t>IMG_3101</t>
  </si>
  <si>
    <t>PY 08  (山)~~100~~+80+50，YYC+100</t>
  </si>
  <si>
    <t>原有一笔 100 被划掉；手写「山耐斯」；库中同类快插接头多挂在【山克斯（SUNCOS）】下，请确认到底是哪一个品牌</t>
  </si>
  <si>
    <t>PY 10  (山)+200 +200（~~150~~）</t>
  </si>
  <si>
    <t>其中一笔 150 被划掉改 200；手写「山耐斯」；库中同类快插接头多挂在【山克斯（SUNCOS）】下，请确认到底是哪一个品牌</t>
  </si>
  <si>
    <t>PW 8-10-8  (山)+190</t>
  </si>
  <si>
    <t>SKU 写法为 8-10-8，库中 PW 命名为 PW08-06 形式，需确认；手写「山耐斯」；库中同类快插接头多挂在【山克斯（SUNCOS）】下，请确认到底是哪一个品牌</t>
  </si>
  <si>
    <t>PY 12  50，(三正)+50，(山)+80+100</t>
  </si>
  <si>
    <t>PC 4-M6  (山)+100</t>
  </si>
  <si>
    <t>DPC螺纹直通</t>
  </si>
  <si>
    <t>PC 4-M5  (气)+500，(无)+200</t>
  </si>
  <si>
    <t>括号内字辨认为「无」，即无品牌</t>
  </si>
  <si>
    <t>PC 4-01  (山)+700</t>
  </si>
  <si>
    <t>PC 6-02  (气)+100+200，900</t>
  </si>
  <si>
    <t>+200 写在行上方</t>
  </si>
  <si>
    <t>PC 6-04  (山)350</t>
  </si>
  <si>
    <t>PC圆 8-01  YYC+190，500</t>
  </si>
  <si>
    <t>行首标「PC圆」，可能是圆头/圆柱款，需确认是否另建商品</t>
  </si>
  <si>
    <t>行首标「PC圆」</t>
  </si>
  <si>
    <t>PC 8-03  1200，山+50</t>
  </si>
  <si>
    <t>PC 8-04  山+50，400</t>
  </si>
  <si>
    <t>IMG_3102</t>
  </si>
  <si>
    <t>PC 8-04  东900</t>
  </si>
  <si>
    <t>与 IMG_3101 第19行同为 PC08-04，入库时注意合并</t>
  </si>
  <si>
    <t>PC 10-01  200，山+100+100</t>
  </si>
  <si>
    <t>PC圆 10-01  80</t>
  </si>
  <si>
    <t>行首标「PC圆」，需确认是否另建商品</t>
  </si>
  <si>
    <t>PC 12-03  100</t>
  </si>
  <si>
    <t>行首型号有涂改</t>
  </si>
  <si>
    <t>PC 16-03  150</t>
  </si>
  <si>
    <t>DPL-L型螺纹二通</t>
  </si>
  <si>
    <t>PL 12-02  50，山+110</t>
  </si>
  <si>
    <t>PL 12-01  山+100</t>
  </si>
  <si>
    <t>PL 10-04  山+310</t>
  </si>
  <si>
    <t>(整行划掉) 10-0</t>
  </si>
  <si>
    <t>① 8-03  山+200，500（上方另注 +100 +100，其一划掉）</t>
  </si>
  <si>
    <t>行首标①；上方 +100 有两处其一被划掉，数量需重点核对；手写「山耐斯」；库中同类快插接头多挂在【山克斯（SUNCOS）】下，请确认到底是哪一个品牌</t>
  </si>
  <si>
    <t>① 8-03  山+200，500</t>
  </si>
  <si>
    <t>行首标①</t>
  </si>
  <si>
    <t>IMG_3103</t>
  </si>
  <si>
    <t>PL ② 8-03  100，YYC+50+50</t>
  </si>
  <si>
    <t>行首标②，与 IMG_3102 第21行同型号，入库时注意合并</t>
  </si>
  <si>
    <t>行首标②</t>
  </si>
  <si>
    <t>PL 8-04  150，山+50</t>
  </si>
  <si>
    <t>PL 8-01  山+(5×120)，50+500，气+500+100</t>
  </si>
  <si>
    <t>原文写「5×120」，即 5 包×120 只，请确认；手写「山耐斯」；库中同类快插接头多挂在【山克斯（SUNCOS）】下，请确认到底是哪一个品牌</t>
  </si>
  <si>
    <t>PL 8-M5  山+100</t>
  </si>
  <si>
    <t>PL 6-04  山+50</t>
  </si>
  <si>
    <t>PL 6-03  山+150+120+110+110+120+120+120（上方另注 +100）</t>
  </si>
  <si>
    <t>多笔相加共 8 笔，其中 +100 写在行上方，数量需重点核对；手写「山耐斯」；库中同类快插接头多挂在【山克斯（SUNCOS）】下，请确认到底是哪一个品牌</t>
  </si>
  <si>
    <t>PL 4-02  250</t>
  </si>
  <si>
    <t>数量前有一串被划掉</t>
  </si>
  <si>
    <t>数量合计（仅供核对）</t>
  </si>
  <si>
    <t>※「数量」列凡是多笔相加的，都写成了公式（如 =5+12），改任一加数会自动重算。</t>
  </si>
  <si>
    <t>手写写法</t>
  </si>
  <si>
    <t>对应系统品牌</t>
  </si>
  <si>
    <t>品牌ID</t>
  </si>
  <si>
    <t>库中已有</t>
  </si>
  <si>
    <t>说明</t>
  </si>
  <si>
    <t>山 / 山耐斯</t>
  </si>
  <si>
    <t>1950103572305715201</t>
  </si>
  <si>
    <t>是</t>
  </si>
  <si>
    <t>⚠ 库中同类快插接头几乎都挂在【山克斯（SUNCOS）】下，山耐斯 只用在手动阀/脚踏阀/调压过滤器。请确认手写的「山」到底指哪个品牌——选错会产生重复商品。</t>
  </si>
  <si>
    <t>YYC</t>
  </si>
  <si>
    <t>1966772332903120897</t>
  </si>
  <si>
    <t>气 / 气动之星</t>
  </si>
  <si>
    <t>1966314725293801474</t>
  </si>
  <si>
    <t>东</t>
  </si>
  <si>
    <t>1945334660456259585</t>
  </si>
  <si>
    <t>库中绝大多数快插接头的默认品牌</t>
  </si>
  <si>
    <t>三正</t>
  </si>
  <si>
    <t>1961340546236592129</t>
  </si>
  <si>
    <t>SUNCOS</t>
  </si>
  <si>
    <t>1966314533442142210</t>
  </si>
  <si>
    <t>卓良</t>
  </si>
  <si>
    <t>1950103450909974529</t>
  </si>
  <si>
    <t>盛达</t>
  </si>
  <si>
    <t>1946830584529588226</t>
  </si>
  <si>
    <t>百灵</t>
  </si>
  <si>
    <t>1961752675691331586</t>
  </si>
  <si>
    <t>1957282155310661633</t>
  </si>
  <si>
    <t>（不填品牌）</t>
  </si>
  <si>
    <t>手写标「无」，表示无品牌</t>
  </si>
  <si>
    <t>否</t>
  </si>
  <si>
    <t>⚠ IMG_3091 第9行，两字辨认为「熙庆」，库中无此品牌，请确认后新建或改正</t>
  </si>
  <si>
    <t>（空白）</t>
  </si>
  <si>
    <t>原始记录未标品牌，入库时需现场判断</t>
  </si>
  <si>
    <t>明细序号</t>
  </si>
  <si>
    <t>存疑内容</t>
  </si>
  <si>
    <t>系统分类</t>
  </si>
  <si>
    <t>该分类下已有商品（商品名 / 品牌）</t>
  </si>
  <si>
    <t>ACQ薄型气缸</t>
  </si>
  <si>
    <t>ACQ薄型气缸（威特）</t>
  </si>
  <si>
    <t>C式接头</t>
  </si>
  <si>
    <t>C式接头（JCP） ；C式接头（TRM） ；C式接头（新禾） ；C式接头（明铁）</t>
  </si>
  <si>
    <t>C式自锁接头</t>
  </si>
  <si>
    <t>C式自锁接头 ；C式自锁接头（明铁）</t>
  </si>
  <si>
    <t>DHVFF手阀</t>
  </si>
  <si>
    <t>DHVFF手阀（东特）</t>
  </si>
  <si>
    <t>DPCF内螺纹直通</t>
  </si>
  <si>
    <t>PCF内螺纹直通（三正气动） ；PCF内螺纹直通（东特） ；PCF内螺纹直通（山克斯（SUNCOS））</t>
  </si>
  <si>
    <t>PC螺纹直通（Xing） ；PC螺纹直通（东特） ；PC螺纹直通（亿日） ；PC螺纹直通（气动之星（CYKL）） ；SPC螺纹直通（山克斯（SUNCOS））</t>
  </si>
  <si>
    <t>DPE T型三通（东特） ；PE T型三通（山克斯（SUNCOS）） ；PE Y型三通（亚一气动（YYC））</t>
  </si>
  <si>
    <t>PG 变径直通（东特） ；PG变经直通（亚一气动（YYC）） ；PG变经直通（山克斯（SUNCOS）） ；PG变经直通（气动之星（CYKL））</t>
  </si>
  <si>
    <t>DPKB螺纹五通变径</t>
  </si>
  <si>
    <t>DPKB螺纹五通变径（东特）</t>
  </si>
  <si>
    <t>DPKD螺纹五通</t>
  </si>
  <si>
    <t>DPKD螺纹五通（东特）</t>
  </si>
  <si>
    <t>DPKG五通变径</t>
  </si>
  <si>
    <t>DPKG五通变径（东特）</t>
  </si>
  <si>
    <t>DPK五通</t>
  </si>
  <si>
    <t>PK五通（山克斯（SUNCOS））</t>
  </si>
  <si>
    <t>DPL L型螺纹二通（MYA00） ；DPL L型螺纹二通（亚一气动（YYC）） ；DPL L型螺纹二通（山克斯（SUNCOS）） ；DPL L型螺纹二通（气动之星（CYKL）） ；PL L型螺纹二通（东特） ；ZPL L型螺纹二通（亿日）</t>
  </si>
  <si>
    <t>DPLF内螺纹二通</t>
  </si>
  <si>
    <t>PLF 内螺纹二通（东特）</t>
  </si>
  <si>
    <t>DPLL-L型加长螺纹二通</t>
  </si>
  <si>
    <t>DPLL L型加长螺纹二通（山克斯（SUNCOS））</t>
  </si>
  <si>
    <t>DPOC圆螺纹直通</t>
  </si>
  <si>
    <t>POC圆螺纹直通（东特）</t>
  </si>
  <si>
    <t>DPU直通（东特） ；PU直通（亚一气动（YYC）） ；PU直通（山克斯（SUNCOS）） ；PU直通（气动之星（CYKL））</t>
  </si>
  <si>
    <t>PV L型二通（东特） ；PV L型二通（亚一气动（YYC）） ；PV L型二通（山克斯（SUNCOS））</t>
  </si>
  <si>
    <t>DPW Y型变径（东特） ；DPW Y型变径（山克斯（SUNCOS））</t>
  </si>
  <si>
    <t>DPX-Y型三通带螺纹</t>
  </si>
  <si>
    <t>DPX Y型三通带螺纹（山克斯（SUNCOS）） ；PX Y型三通带螺纹（三正气动）</t>
  </si>
  <si>
    <t>PY Y型三通（东特） ；PY-Y型三通（亚一气动（YYC）） ；PY-Y型三通（山克斯（SUNCOS））</t>
  </si>
  <si>
    <t>DPZA十字四通</t>
  </si>
  <si>
    <t>DPZA十字四通（东特） ；PZA十字四通（山克斯（SUNCOS））</t>
  </si>
  <si>
    <t>DSA管道阀</t>
  </si>
  <si>
    <t>DSA管道阀（东特） ；DSA管道阀（山克斯（SUNCOS））</t>
  </si>
  <si>
    <t>SL（JSC） L型节流阀（东特） ；SL（JSC） L型节流阀（山克斯（SUNCOS）） ；SL（JSC） L型节流阀（气动之星（CYKL））</t>
  </si>
  <si>
    <t>EPE三通T型</t>
  </si>
  <si>
    <t>EPE三通T型（亿日）</t>
  </si>
  <si>
    <t>MALJ铝合金迷你气缸（亚德客型） ；MAL铝合金迷你气缸（亚德客型）（东特）</t>
  </si>
  <si>
    <t>MA系列不锈钢迷你气缸（亚德客型）</t>
  </si>
  <si>
    <t>MA系列不锈钢迷你气缸（亚德客型）（东特）</t>
  </si>
  <si>
    <t>PA管(尼龙管）</t>
  </si>
  <si>
    <t>PA管（尼龙管）（铁壳虫）</t>
  </si>
  <si>
    <t>PB螺纹T型上面螺纹</t>
  </si>
  <si>
    <t>PB螺纹T型上面螺丝（山克斯（SUNCOS）） ；PB螺纹T型上面螺纹（三正气动） ；PB螺纹T型上面螺纹（东特）</t>
  </si>
  <si>
    <t>PD螺纹T型侧边带螺纹</t>
  </si>
  <si>
    <t>SPD螺纹T 型（三正气动） ；SPD螺纹T型（山克斯（SUNCOS））</t>
  </si>
  <si>
    <t>PEG T型三通（东特） ；PEG T型三通（山克斯（SUNCOS）） ；PEG T型三通（气动之星（CYKL））</t>
  </si>
  <si>
    <t>PE管</t>
  </si>
  <si>
    <t>PE管（力耐尔） ；PE管（环球牌）</t>
  </si>
  <si>
    <t>PGJ-插杆变径直通</t>
  </si>
  <si>
    <t>PGJ 插杆变径直通</t>
  </si>
  <si>
    <t>PM隔板直通</t>
  </si>
  <si>
    <t>PM隔板直通（东特） ；PM隔板直通（山克斯（SUNCOS））</t>
  </si>
  <si>
    <t>PU管</t>
  </si>
  <si>
    <t>PU管（威特） ；PU管（米）（威特）</t>
  </si>
  <si>
    <t>PVC增强软管</t>
  </si>
  <si>
    <t>SC系列（亚德客型）</t>
  </si>
  <si>
    <t>SC气缸（CHLED） ；SC气缸（CHTD） ；SC气缸（HJNN） ；SC气缸（三川气动（SACU）） ；SC气缸（东特） ；SC气缸（亚德客(AirTac)） ；SC气缸（亚邦（YABANG）） ；SC气缸（卓良(zholo)） ；SC气缸（威特） ；SC气缸（宝诚（CNB&amp;C）） ；SC气缸（盛达(SDPC)） ；SC气缸（其他）</t>
  </si>
  <si>
    <t>SDA薄型气缸（亚德客型）</t>
  </si>
  <si>
    <t>SDA薄型气缸 ；SDA薄型气缸（CHTD） ；SDA薄型气缸（JG） ；SDA薄型气缸（JLC） ；SDA薄型气缸（JYC） ；SDA薄型气缸（SNRCE） ；SDA薄型气缸（三川气动（SACU）） ；SDA薄型气缸（三正气动） ；SDA薄型气缸（东特） ；SDA薄型气缸（亚德客(AirTac)） ；SDA薄型气缸（卓良(zholo)） ；SDA薄型气缸（宝诚（CNB&amp;C）） ；SDA薄型气缸（盛达(SDPC)） ；SDA薄型气缸（菲特气动） ；薄型气缸（长得不一样）</t>
  </si>
  <si>
    <t>SU系列标准气缸（内藏式）</t>
  </si>
  <si>
    <t>SU系列标准气缸（内藏式）（东特）</t>
  </si>
  <si>
    <t>TN双杆气缸（东特）</t>
  </si>
  <si>
    <t>ZPC螺纹接头</t>
  </si>
  <si>
    <t>ZPC螺纹接头（亿日）</t>
  </si>
  <si>
    <t>亚太管</t>
  </si>
  <si>
    <t>尼龙管（亚太 比较软）（亚太）</t>
  </si>
  <si>
    <t>伸缩管</t>
  </si>
  <si>
    <t>伸缩管（环球牌） ；伸缩管（艾斯拓）</t>
  </si>
  <si>
    <t>冷却器</t>
  </si>
  <si>
    <t>冷却管</t>
  </si>
  <si>
    <t>制冷电磁阀</t>
  </si>
  <si>
    <t>制冷电磁阀（百达）</t>
  </si>
  <si>
    <t>吹尘枪</t>
  </si>
  <si>
    <t>吹尘枪（AT10） ；吹尘枪（DADA） ；吹尘枪（海达（HNDA））</t>
  </si>
  <si>
    <t>喉箍</t>
  </si>
  <si>
    <t>不锈钢喉箍 ；欧式强力喉箍 ；镀锌强力喉箍</t>
  </si>
  <si>
    <t>堵头</t>
  </si>
  <si>
    <t>夹线管</t>
  </si>
  <si>
    <t>高压夹线管</t>
  </si>
  <si>
    <t>内牙宝塔接头 ；定制 ；宝塔弯头 ；宝塔直通</t>
  </si>
  <si>
    <t>快拧接头</t>
  </si>
  <si>
    <t>亚太管快拧三通 ；亚太管快拧弯头 ；亚太管快拧直通 ；内牙三通（黄铜） ；内牙弯头（黄铜） ；卡套快拧三通（不锈钢色） ；卡套快拧三通（黄铜） ；卡套快拧弯头（不锈钢色） ；卡套快拧弯头（黄铜） ；卡套快拧直通（不锈钢色） ；卡套快拧直通（黄铜） ；外牙三通（黄铜） ；快拧三通（黄铜） ；快拧弯头（黄铜） ；快拧接头内牙 ；快拧接头对接 ；扩口快拧三通（黄铜） ；扩口快拧弯头（黄铜） ；扩口快拧直通（黄铜） ；气动快拧三通 ；气动快拧弯头 ；气动快拧直通</t>
  </si>
  <si>
    <t>手动换向阀</t>
  </si>
  <si>
    <t>气动手动阀（MODEL） ；气动手动阀（卓良(zholo)） ；气动手动阀（山耐斯） ；气动手动阀（盛达(SDPC)） ；气动手动阀（亚得）（亚德）</t>
  </si>
  <si>
    <t>快速排气阀（亚德客(AirTac)）</t>
  </si>
  <si>
    <t>气动电磁阀</t>
  </si>
  <si>
    <t>气动手动阀(one way) ；气动电磁阀（JYC） ；气动电磁阀（KSD） ；气动电磁阀（MCF） ；气动电磁阀（Mindman） ；气动电磁阀（ZLPC） ；气动电磁阀（亚德客(AirTac)） ；气动电磁阀（亨博电磁） ；气动电磁阀（卓良(zholo)） ；气动电磁阀（唯尔美德（VERMD）） ；气动电磁阀（天盛(TSPC)） ；气动电磁阀（威特） ；气动电磁阀（盛达(SDPC)） ；气动电磁阀(其他)</t>
  </si>
  <si>
    <t>气源处理类</t>
  </si>
  <si>
    <t>不锈钢球阀 ；调压过滤器</t>
  </si>
  <si>
    <t>水平管</t>
  </si>
  <si>
    <t>油缸</t>
  </si>
  <si>
    <t>MOB油缸</t>
  </si>
  <si>
    <t>油雾器专用油</t>
  </si>
  <si>
    <t>油雾器专用油（海达（HNDA））</t>
  </si>
  <si>
    <t>润滑器</t>
  </si>
  <si>
    <t>液压手动阀</t>
  </si>
  <si>
    <t>液压电磁阀（万尔福(WANERF)） ；液压电磁阀(其他)</t>
  </si>
  <si>
    <t>油泵 ；电机配油泵</t>
  </si>
  <si>
    <t>液压电磁阀</t>
  </si>
  <si>
    <t>液压电磁阀（XD） ；液压电磁阀（YOULIDA） ；液压电磁阀（三阳） ；液压电磁阀（威特） ；液压电磁阀（联心(LIANXING)） ；液压电磁阀(上海液压气动总公司） ；液压电磁阀（JIE&amp;MING） ；液压电磁阀（交大南洋）</t>
  </si>
  <si>
    <t>液控单向阀</t>
  </si>
  <si>
    <t>溢流阀</t>
  </si>
  <si>
    <t>球阀</t>
  </si>
  <si>
    <t>加厚内外牙铜球阀 ；加厚双内牙铜球阀 ；加厚宝塔铜球阀 ；精品内外牙铜球阀 ；精品宝塔铜球阀</t>
  </si>
  <si>
    <t>电磁换向阀</t>
  </si>
  <si>
    <t>电磁水阀（YPCN） ；电磁水阀（卓良(zholo)） ；电磁水阀（恒荣（地球）） ；电磁水阀（永灵） ；电磁水阀（海达（HNDA）） ；电磁水阀（盛达(SDPC)） ；电磁水阀（神州） ；电磁水阀（UNI D）（UNI-D）</t>
  </si>
  <si>
    <t>电磁调速阀</t>
  </si>
  <si>
    <t>电磁阀配件</t>
  </si>
  <si>
    <t>汇流板</t>
  </si>
  <si>
    <t>脚踏阀</t>
  </si>
  <si>
    <t>脚踏阀（亚德客(AirTac)） ；脚踏阀（山耐斯） ；脚踏阀（盛达(SDPC)） ；脚踏阀（HuaJin）</t>
  </si>
  <si>
    <t>补芯</t>
  </si>
  <si>
    <t>调压过滤器（亚德客(AirTac)） ；调压过滤器（宝丰（BAOF）） ；调压过滤器（山耐斯） ；调压过滤器（海达（HNDA）） ；调压过滤器（盛达(SDPC)） ；调压过滤器（其他）</t>
  </si>
  <si>
    <t>调压阀</t>
  </si>
  <si>
    <t>调压阀（MODEL） ；调压阀（亚德客(AirTac)） ；调压阀（宝丰（BAOF）） ；调压阀（海达（HNDA）） ；调压阀（百灵（BLCH）） ；调压阀（盛达(SDPC)）</t>
  </si>
  <si>
    <t>MCY14-1B ；MYCY ；SCY14-1B ；YCY</t>
  </si>
  <si>
    <t>过滤网</t>
  </si>
  <si>
    <t>三寸过滤网</t>
  </si>
  <si>
    <t>SC气缸底座 ；磁性开关 ；鱼眼接头</t>
  </si>
  <si>
    <t>铜螺帽</t>
  </si>
  <si>
    <t>铝塑管</t>
  </si>
  <si>
    <t>镀锌接头</t>
  </si>
  <si>
    <t>镀锌街头</t>
  </si>
  <si>
    <t>黄油嘴</t>
  </si>
  <si>
    <t>黄皮管</t>
  </si>
  <si>
    <t>齿轮泵</t>
  </si>
  <si>
    <r>
      <rPr>
        <sz val="10"/>
        <rFont val="Microsoft YaHei"/>
        <family val="2"/>
        <charset val="134"/>
      </rPr>
      <t>照庆</t>
    </r>
    <r>
      <rPr>
        <sz val="10"/>
        <rFont val="Arial"/>
        <family val="2"/>
      </rPr>
      <t xml:space="preserve"> Q25 R5-L6 </t>
    </r>
    <r>
      <rPr>
        <sz val="10"/>
        <rFont val="Microsoft YaHei"/>
        <family val="2"/>
        <charset val="134"/>
      </rPr>
      <t>推拉阀</t>
    </r>
    <r>
      <rPr>
        <sz val="10"/>
        <rFont val="Arial"/>
        <family val="2"/>
      </rPr>
      <t xml:space="preserve">  1+1</t>
    </r>
    <phoneticPr fontId="8" type="noConversion"/>
  </si>
  <si>
    <r>
      <rPr>
        <sz val="10"/>
        <rFont val="Microsoft YaHei"/>
        <family val="2"/>
        <charset val="134"/>
      </rPr>
      <t>无</t>
    </r>
    <r>
      <rPr>
        <sz val="10"/>
        <rFont val="Arial"/>
        <family val="2"/>
      </rPr>
      <t>(</t>
    </r>
    <r>
      <rPr>
        <sz val="10"/>
        <rFont val="Microsoft YaHei"/>
        <family val="2"/>
        <charset val="134"/>
      </rPr>
      <t>品牌</t>
    </r>
    <r>
      <rPr>
        <sz val="10"/>
        <rFont val="Arial"/>
        <family val="2"/>
      </rPr>
      <t xml:space="preserve">) 4R210-08  22 </t>
    </r>
    <r>
      <rPr>
        <sz val="10"/>
        <rFont val="Microsoft YaHei"/>
        <family val="2"/>
        <charset val="134"/>
      </rPr>
      <t>推拉阀</t>
    </r>
    <phoneticPr fontId="8" type="noConversion"/>
  </si>
  <si>
    <r>
      <t>MHY2-20D  1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 </t>
    </r>
    <phoneticPr fontId="8" type="noConversion"/>
  </si>
  <si>
    <r>
      <rPr>
        <sz val="10"/>
        <rFont val="Microsoft YaHei"/>
        <family val="2"/>
        <charset val="134"/>
      </rPr>
      <t>自动排水器</t>
    </r>
    <r>
      <rPr>
        <sz val="10"/>
        <rFont val="Arial"/>
        <family val="2"/>
      </rPr>
      <t xml:space="preserve"> XFC400  43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</t>
    </r>
    <phoneticPr fontId="8" type="noConversion"/>
  </si>
  <si>
    <r>
      <t>HFZ-16D  1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 </t>
    </r>
    <phoneticPr fontId="8" type="noConversion"/>
  </si>
  <si>
    <r>
      <t>2</t>
    </r>
    <r>
      <rPr>
        <sz val="10"/>
        <rFont val="Microsoft YaHei"/>
        <family val="2"/>
        <charset val="134"/>
      </rPr>
      <t>分牙</t>
    </r>
    <r>
      <rPr>
        <sz val="10"/>
        <rFont val="Arial"/>
        <family val="2"/>
      </rPr>
      <t xml:space="preserve"> 50</t>
    </r>
    <r>
      <rPr>
        <sz val="10"/>
        <rFont val="Microsoft YaHei"/>
        <family val="2"/>
        <charset val="134"/>
      </rPr>
      <t>表面</t>
    </r>
    <r>
      <rPr>
        <sz val="10"/>
        <rFont val="Arial"/>
        <family val="2"/>
      </rPr>
      <t xml:space="preserve"> 10kg 1MPa  109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 </t>
    </r>
    <phoneticPr fontId="8" type="noConversion"/>
  </si>
  <si>
    <r>
      <t xml:space="preserve">Q22XD-2L 220V </t>
    </r>
    <r>
      <rPr>
        <sz val="10"/>
        <rFont val="Microsoft YaHei"/>
        <family val="2"/>
        <charset val="134"/>
      </rPr>
      <t>全铜</t>
    </r>
    <r>
      <rPr>
        <sz val="10"/>
        <rFont val="Arial"/>
        <family val="2"/>
      </rPr>
      <t xml:space="preserve">  118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 </t>
    </r>
    <phoneticPr fontId="8" type="noConversion"/>
  </si>
  <si>
    <r>
      <t>FDF-8 220V  8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</t>
    </r>
    <phoneticPr fontId="8" type="noConversion"/>
  </si>
  <si>
    <r>
      <t>FB2E-V 220V 3</t>
    </r>
    <r>
      <rPr>
        <sz val="10"/>
        <rFont val="Microsoft YaHei"/>
        <family val="2"/>
        <charset val="134"/>
      </rPr>
      <t>分牙</t>
    </r>
    <r>
      <rPr>
        <sz val="10"/>
        <rFont val="Arial"/>
        <family val="2"/>
      </rPr>
      <t xml:space="preserve">  24</t>
    </r>
    <r>
      <rPr>
        <sz val="10"/>
        <rFont val="Microsoft YaHei"/>
        <family val="2"/>
        <charset val="134"/>
      </rPr>
      <t>个</t>
    </r>
    <phoneticPr fontId="8" type="noConversion"/>
  </si>
  <si>
    <r>
      <t>FB2E-V 220V 2</t>
    </r>
    <r>
      <rPr>
        <sz val="10"/>
        <rFont val="Microsoft YaHei"/>
        <family val="2"/>
        <charset val="134"/>
      </rPr>
      <t>分牙</t>
    </r>
    <r>
      <rPr>
        <sz val="10"/>
        <rFont val="Arial"/>
        <family val="2"/>
      </rPr>
      <t xml:space="preserve">  24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</t>
    </r>
    <phoneticPr fontId="8" type="noConversion"/>
  </si>
  <si>
    <r>
      <t>HR30  23</t>
    </r>
    <r>
      <rPr>
        <sz val="10"/>
        <rFont val="Microsoft YaHei"/>
        <family val="2"/>
        <charset val="134"/>
      </rPr>
      <t>个</t>
    </r>
    <phoneticPr fontId="8" type="noConversion"/>
  </si>
  <si>
    <r>
      <t>US-25 220V  29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 </t>
    </r>
    <phoneticPr fontId="8" type="noConversion"/>
  </si>
  <si>
    <r>
      <t>US-20 220V  13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</t>
    </r>
    <phoneticPr fontId="8" type="noConversion"/>
  </si>
  <si>
    <r>
      <t>DQK 1442  1</t>
    </r>
    <r>
      <rPr>
        <sz val="10"/>
        <rFont val="Microsoft YaHei"/>
        <family val="2"/>
        <charset val="134"/>
      </rPr>
      <t>个</t>
    </r>
    <r>
      <rPr>
        <sz val="10"/>
        <rFont val="Arial"/>
        <family val="2"/>
      </rPr>
      <t xml:space="preserve"> </t>
    </r>
    <phoneticPr fontId="8" type="noConversion"/>
  </si>
  <si>
    <r>
      <rPr>
        <sz val="10"/>
        <rFont val="Microsoft YaHei"/>
        <family val="2"/>
        <charset val="134"/>
      </rPr>
      <t>盛达</t>
    </r>
    <r>
      <rPr>
        <sz val="10"/>
        <rFont val="Arial"/>
        <family val="2"/>
      </rPr>
      <t>S0230605A  2+2+15</t>
    </r>
    <phoneticPr fontId="8" type="noConversion"/>
  </si>
  <si>
    <r>
      <rPr>
        <sz val="10"/>
        <rFont val="Microsoft YaHei"/>
        <family val="2"/>
        <charset val="134"/>
      </rPr>
      <t>针闭式油杯</t>
    </r>
    <r>
      <rPr>
        <sz val="10"/>
        <rFont val="Arial"/>
        <family val="2"/>
      </rPr>
      <t xml:space="preserve"> B</t>
    </r>
    <r>
      <rPr>
        <sz val="10"/>
        <rFont val="Microsoft YaHei"/>
        <family val="2"/>
        <charset val="134"/>
      </rPr>
      <t>型</t>
    </r>
    <r>
      <rPr>
        <sz val="10"/>
        <rFont val="Arial"/>
        <family val="2"/>
      </rPr>
      <t xml:space="preserve"> 50cm² M14X1.5  2</t>
    </r>
    <phoneticPr fontId="8" type="noConversion"/>
  </si>
  <si>
    <r>
      <rPr>
        <sz val="10"/>
        <rFont val="Microsoft YaHei"/>
        <family val="2"/>
        <charset val="134"/>
      </rPr>
      <t>针闭式油杯</t>
    </r>
    <r>
      <rPr>
        <sz val="10"/>
        <rFont val="Arial"/>
        <family val="2"/>
      </rPr>
      <t xml:space="preserve"> B</t>
    </r>
    <r>
      <rPr>
        <sz val="10"/>
        <rFont val="Microsoft YaHei"/>
        <family val="2"/>
        <charset val="134"/>
      </rPr>
      <t>型</t>
    </r>
    <r>
      <rPr>
        <sz val="10"/>
        <rFont val="Arial"/>
        <family val="2"/>
      </rPr>
      <t xml:space="preserve"> 25cm² M14X1.5  20</t>
    </r>
    <phoneticPr fontId="8" type="noConversion"/>
  </si>
  <si>
    <r>
      <rPr>
        <sz val="10"/>
        <rFont val="Microsoft YaHei"/>
        <family val="2"/>
        <charset val="134"/>
      </rPr>
      <t>压力开关</t>
    </r>
    <r>
      <rPr>
        <sz val="10"/>
        <rFont val="Arial"/>
        <family val="2"/>
      </rPr>
      <t>110  6</t>
    </r>
    <phoneticPr fontId="8" type="noConversion"/>
  </si>
  <si>
    <r>
      <t xml:space="preserve">Q22HD-15 </t>
    </r>
    <r>
      <rPr>
        <sz val="10"/>
        <rFont val="Microsoft YaHei"/>
        <family val="2"/>
        <charset val="134"/>
      </rPr>
      <t>气拉电磁阀</t>
    </r>
    <r>
      <rPr>
        <sz val="10"/>
        <rFont val="Arial"/>
        <family val="2"/>
      </rPr>
      <t xml:space="preserve">  9</t>
    </r>
    <phoneticPr fontId="8" type="noConversion"/>
  </si>
  <si>
    <r>
      <t xml:space="preserve">Q22HD-40 </t>
    </r>
    <r>
      <rPr>
        <sz val="10"/>
        <rFont val="Microsoft YaHei"/>
        <family val="2"/>
        <charset val="134"/>
      </rPr>
      <t>气拉电磁阀</t>
    </r>
    <r>
      <rPr>
        <sz val="10"/>
        <rFont val="Arial"/>
        <family val="2"/>
      </rPr>
      <t xml:space="preserve">  2</t>
    </r>
    <phoneticPr fontId="8" type="noConversion"/>
  </si>
  <si>
    <r>
      <rPr>
        <sz val="10"/>
        <rFont val="Microsoft YaHei"/>
        <family val="2"/>
        <charset val="134"/>
      </rPr>
      <t xml:space="preserve">安全栓   </t>
    </r>
    <r>
      <rPr>
        <sz val="10"/>
        <rFont val="Arial"/>
        <family val="2"/>
      </rPr>
      <t>731</t>
    </r>
    <phoneticPr fontId="8" type="noConversion"/>
  </si>
  <si>
    <t>照庆</t>
    <phoneticPr fontId="8" type="noConversion"/>
  </si>
  <si>
    <t>气源处理类</t>
    <phoneticPr fontId="8" type="noConversion"/>
  </si>
  <si>
    <t>气缸</t>
    <phoneticPr fontId="8" type="noConversion"/>
  </si>
  <si>
    <t>手指气缸</t>
    <phoneticPr fontId="8" type="noConversion"/>
  </si>
  <si>
    <t>油压表</t>
    <phoneticPr fontId="8" type="noConversion"/>
  </si>
  <si>
    <r>
      <t xml:space="preserve">Q23XD-2L 220V </t>
    </r>
    <r>
      <rPr>
        <sz val="10"/>
        <rFont val="Microsoft YaHei"/>
        <family val="2"/>
        <charset val="134"/>
      </rPr>
      <t>全铜</t>
    </r>
    <phoneticPr fontId="8" type="noConversion"/>
  </si>
  <si>
    <r>
      <t xml:space="preserve">Q23XD-2L 220V </t>
    </r>
    <r>
      <rPr>
        <sz val="10"/>
        <rFont val="Microsoft YaHei"/>
        <family val="2"/>
        <charset val="134"/>
      </rPr>
      <t>全铜</t>
    </r>
    <r>
      <rPr>
        <sz val="10"/>
        <rFont val="Arial"/>
        <family val="2"/>
      </rPr>
      <t xml:space="preserve">      1</t>
    </r>
    <r>
      <rPr>
        <sz val="10"/>
        <rFont val="Microsoft YaHei"/>
        <family val="2"/>
        <charset val="134"/>
      </rPr>
      <t>个</t>
    </r>
    <phoneticPr fontId="8" type="noConversion"/>
  </si>
  <si>
    <t>先导阀</t>
    <phoneticPr fontId="8" type="noConversion"/>
  </si>
  <si>
    <r>
      <t xml:space="preserve">FDF </t>
    </r>
    <r>
      <rPr>
        <sz val="10"/>
        <rFont val="Microsoft YaHei"/>
        <family val="2"/>
        <charset val="134"/>
      </rPr>
      <t>制冷电磁阀</t>
    </r>
    <phoneticPr fontId="8" type="noConversion"/>
  </si>
  <si>
    <r>
      <t xml:space="preserve">FB2E-V </t>
    </r>
    <r>
      <rPr>
        <sz val="10"/>
        <rFont val="Microsoft YaHei"/>
        <family val="2"/>
        <charset val="134"/>
      </rPr>
      <t>常闭电磁阀</t>
    </r>
    <phoneticPr fontId="8" type="noConversion"/>
  </si>
  <si>
    <t>配件</t>
    <phoneticPr fontId="8" type="noConversion"/>
  </si>
  <si>
    <t>气动电磁阀</t>
    <phoneticPr fontId="8" type="noConversion"/>
  </si>
  <si>
    <t>抽油泵</t>
    <phoneticPr fontId="8" type="noConversion"/>
  </si>
  <si>
    <t>调压阀</t>
    <phoneticPr fontId="8" type="noConversion"/>
  </si>
  <si>
    <t>润滑器</t>
    <phoneticPr fontId="8" type="noConversion"/>
  </si>
  <si>
    <t>压力开关</t>
    <phoneticPr fontId="8" type="noConversion"/>
  </si>
  <si>
    <t>单向节流阀</t>
    <phoneticPr fontId="8" type="noConversion"/>
  </si>
  <si>
    <t>启动电磁阀</t>
    <phoneticPr fontId="8" type="noConversion"/>
  </si>
  <si>
    <t>安全阀</t>
    <phoneticPr fontId="8" type="noConversion"/>
  </si>
  <si>
    <r>
      <t>2</t>
    </r>
    <r>
      <rPr>
        <sz val="10"/>
        <rFont val="Microsoft YaHei"/>
        <family val="2"/>
        <charset val="134"/>
      </rPr>
      <t>分牙</t>
    </r>
    <r>
      <rPr>
        <sz val="10"/>
        <rFont val="Arial"/>
        <family val="2"/>
      </rPr>
      <t>50</t>
    </r>
    <r>
      <rPr>
        <sz val="10"/>
        <rFont val="Microsoft YaHei"/>
        <family val="2"/>
        <charset val="134"/>
      </rPr>
      <t>面板</t>
    </r>
    <r>
      <rPr>
        <sz val="10"/>
        <rFont val="Arial"/>
        <family val="2"/>
      </rPr>
      <t xml:space="preserve"> 10kg/1MPa</t>
    </r>
    <phoneticPr fontId="8" type="noConversion"/>
  </si>
  <si>
    <t>亚德客</t>
    <phoneticPr fontId="8" type="noConversion"/>
  </si>
  <si>
    <t>S3H-M5   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</si>
</sst>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\(#,##0.00\);\-"/>
  </numFmts>
  <fonts count="1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7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176" fontId="2" fillId="0" borderId="1" xfId="0" applyNumberFormat="1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3" fontId="3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baseColWidth="10" defaultColWidth="8.83203125" defaultRowHeight="14"/>
  <cols>
    <col min="1" max="1" width="22" customWidth="1"/>
    <col min="2" max="2" width="104" customWidth="1"/>
  </cols>
  <sheetData>
    <row r="1" spans="1:2" ht="18">
      <c r="A1" s="1" t="s">
        <v>0</v>
      </c>
    </row>
    <row r="2" spans="1:2">
      <c r="A2" s="2" t="s">
        <v>1</v>
      </c>
    </row>
    <row r="4" spans="1:2" ht="28">
      <c r="A4" s="3" t="s">
        <v>2</v>
      </c>
      <c r="B4" s="4" t="s">
        <v>3</v>
      </c>
    </row>
    <row r="6" spans="1:2">
      <c r="A6" s="3" t="s">
        <v>4</v>
      </c>
      <c r="B6" s="4" t="s">
        <v>5</v>
      </c>
    </row>
    <row r="8" spans="1:2" ht="42">
      <c r="A8" s="3" t="s">
        <v>6</v>
      </c>
      <c r="B8" s="4" t="s">
        <v>7</v>
      </c>
    </row>
    <row r="11" spans="1:2" ht="28">
      <c r="A11" s="3" t="s">
        <v>8</v>
      </c>
      <c r="B11" s="4" t="s">
        <v>9</v>
      </c>
    </row>
    <row r="13" spans="1:2" ht="28">
      <c r="A13" s="3" t="s">
        <v>10</v>
      </c>
      <c r="B13" s="4" t="s">
        <v>11</v>
      </c>
    </row>
    <row r="15" spans="1:2">
      <c r="A15" s="3" t="s">
        <v>12</v>
      </c>
      <c r="B15" s="5" t="s">
        <v>13</v>
      </c>
    </row>
    <row r="17" spans="1:2">
      <c r="A17" s="3" t="s">
        <v>14</v>
      </c>
      <c r="B17" s="4" t="s">
        <v>15</v>
      </c>
    </row>
    <row r="19" spans="1:2" ht="28">
      <c r="A19" s="3" t="s">
        <v>16</v>
      </c>
      <c r="B19" s="4" t="s">
        <v>17</v>
      </c>
    </row>
    <row r="22" spans="1:2" ht="16">
      <c r="A22" s="6" t="s">
        <v>18</v>
      </c>
    </row>
    <row r="23" spans="1:2">
      <c r="A23" s="3" t="s">
        <v>19</v>
      </c>
      <c r="B23" s="7">
        <f>COUNTA(待入库明细!A2:A109)</f>
        <v>108</v>
      </c>
    </row>
    <row r="24" spans="1:2">
      <c r="A24" s="3" t="s">
        <v>20</v>
      </c>
      <c r="B24" s="7">
        <f>SUM(待入库明细!J2:J109)</f>
        <v>7170</v>
      </c>
    </row>
    <row r="25" spans="1:2">
      <c r="A25" s="3" t="s">
        <v>21</v>
      </c>
      <c r="B25" s="7">
        <f>COUNTIF(待入库明细!O2:O109,"*")</f>
        <v>37</v>
      </c>
    </row>
    <row r="26" spans="1:2">
      <c r="A26" s="3" t="s">
        <v>22</v>
      </c>
      <c r="B26" s="7">
        <f>COUNTIF(待入库明细!N2:N109,"已存在*")</f>
        <v>0</v>
      </c>
    </row>
    <row r="27" spans="1:2">
      <c r="A27" s="3" t="s">
        <v>23</v>
      </c>
      <c r="B27" s="7">
        <f>COUNTIF(待入库明细!N2:N109,"需新建SKU")</f>
        <v>98</v>
      </c>
    </row>
    <row r="28" spans="1:2">
      <c r="A28" s="3" t="s">
        <v>24</v>
      </c>
      <c r="B28" s="7">
        <f>COUNTIF(待入库明细!N2:N109,"需新建分类")</f>
        <v>10</v>
      </c>
    </row>
    <row r="29" spans="1:2">
      <c r="A29" s="3" t="s">
        <v>25</v>
      </c>
      <c r="B29" s="7">
        <f>COUNTIF(待入库明细!N2:N109,"SKU已存在，但该品牌下没有*")</f>
        <v>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1"/>
  <sheetViews>
    <sheetView tabSelected="1" zoomScale="143" workbookViewId="0">
      <pane xSplit="4" ySplit="1" topLeftCell="E67" activePane="bottomRight" state="frozen"/>
      <selection pane="topRight"/>
      <selection pane="bottomLeft"/>
      <selection pane="bottomRight" activeCell="F82" sqref="F82"/>
    </sheetView>
  </sheetViews>
  <sheetFormatPr baseColWidth="10" defaultColWidth="8.83203125" defaultRowHeight="14"/>
  <cols>
    <col min="1" max="1" width="6" customWidth="1"/>
    <col min="2" max="2" width="11" customWidth="1"/>
    <col min="3" max="3" width="7" customWidth="1"/>
    <col min="4" max="4" width="46" customWidth="1"/>
    <col min="5" max="6" width="22" customWidth="1"/>
    <col min="7" max="8" width="18" customWidth="1"/>
    <col min="9" max="9" width="22" customWidth="1"/>
    <col min="10" max="10" width="9" customWidth="1"/>
    <col min="11" max="11" width="6" customWidth="1"/>
    <col min="12" max="13" width="10" customWidth="1"/>
    <col min="14" max="14" width="24" customWidth="1"/>
    <col min="15" max="15" width="52" customWidth="1"/>
    <col min="16" max="16" width="7" customWidth="1"/>
  </cols>
  <sheetData>
    <row r="1" spans="1:16" ht="30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6</v>
      </c>
      <c r="O1" s="8" t="s">
        <v>39</v>
      </c>
      <c r="P1" s="8" t="s">
        <v>40</v>
      </c>
    </row>
    <row r="2" spans="1:16" ht="17">
      <c r="A2" s="9">
        <v>9</v>
      </c>
      <c r="B2" s="9" t="s">
        <v>41</v>
      </c>
      <c r="C2" s="9">
        <v>9</v>
      </c>
      <c r="D2" s="19" t="s">
        <v>713</v>
      </c>
      <c r="E2" s="20" t="s">
        <v>732</v>
      </c>
      <c r="F2" s="9" t="s">
        <v>58</v>
      </c>
      <c r="G2" s="9"/>
      <c r="H2" s="9" t="s">
        <v>59</v>
      </c>
      <c r="I2" s="9" t="s">
        <v>60</v>
      </c>
      <c r="J2" s="11">
        <v>43</v>
      </c>
      <c r="K2" s="9" t="s">
        <v>45</v>
      </c>
      <c r="L2" s="9"/>
      <c r="M2" s="12"/>
      <c r="N2" s="13" t="s">
        <v>61</v>
      </c>
      <c r="O2" s="10"/>
      <c r="P2" s="15"/>
    </row>
    <row r="3" spans="1:16" ht="17">
      <c r="A3" s="9">
        <v>30</v>
      </c>
      <c r="B3" s="9" t="s">
        <v>75</v>
      </c>
      <c r="C3" s="9">
        <v>11</v>
      </c>
      <c r="D3" s="10" t="s">
        <v>712</v>
      </c>
      <c r="E3" s="20" t="s">
        <v>734</v>
      </c>
      <c r="F3" s="9" t="s">
        <v>87</v>
      </c>
      <c r="G3" s="9"/>
      <c r="H3" s="9" t="s">
        <v>88</v>
      </c>
      <c r="I3" s="9" t="s">
        <v>76</v>
      </c>
      <c r="J3" s="11">
        <v>1</v>
      </c>
      <c r="K3" s="9" t="s">
        <v>45</v>
      </c>
      <c r="L3" s="9"/>
      <c r="M3" s="12"/>
      <c r="N3" s="13" t="s">
        <v>46</v>
      </c>
      <c r="O3" s="14" t="s">
        <v>89</v>
      </c>
      <c r="P3" s="15"/>
    </row>
    <row r="4" spans="1:16" ht="17">
      <c r="A4" s="9">
        <v>31</v>
      </c>
      <c r="B4" s="9" t="s">
        <v>75</v>
      </c>
      <c r="C4" s="9">
        <v>12</v>
      </c>
      <c r="D4" s="10" t="s">
        <v>714</v>
      </c>
      <c r="E4" s="20" t="s">
        <v>734</v>
      </c>
      <c r="F4" s="9" t="s">
        <v>91</v>
      </c>
      <c r="G4" s="9"/>
      <c r="H4" s="9" t="s">
        <v>92</v>
      </c>
      <c r="I4" s="9" t="s">
        <v>76</v>
      </c>
      <c r="J4" s="11">
        <v>1</v>
      </c>
      <c r="K4" s="9" t="s">
        <v>45</v>
      </c>
      <c r="L4" s="9"/>
      <c r="M4" s="12"/>
      <c r="N4" s="13" t="s">
        <v>46</v>
      </c>
      <c r="O4" s="14" t="s">
        <v>93</v>
      </c>
      <c r="P4" s="15"/>
    </row>
    <row r="5" spans="1:16" ht="17">
      <c r="A5" s="9">
        <v>34</v>
      </c>
      <c r="B5" s="9" t="s">
        <v>75</v>
      </c>
      <c r="C5" s="9">
        <v>15</v>
      </c>
      <c r="D5" s="10" t="s">
        <v>715</v>
      </c>
      <c r="E5" s="20" t="s">
        <v>735</v>
      </c>
      <c r="F5" s="9" t="s">
        <v>95</v>
      </c>
      <c r="G5" s="9"/>
      <c r="H5" s="9" t="s">
        <v>96</v>
      </c>
      <c r="I5" s="9" t="s">
        <v>97</v>
      </c>
      <c r="J5" s="11">
        <v>109</v>
      </c>
      <c r="K5" s="9" t="s">
        <v>45</v>
      </c>
      <c r="L5" s="9"/>
      <c r="M5" s="12"/>
      <c r="N5" s="13" t="s">
        <v>61</v>
      </c>
      <c r="O5" s="14" t="s">
        <v>99</v>
      </c>
      <c r="P5" s="15"/>
    </row>
    <row r="6" spans="1:16" ht="17">
      <c r="A6" s="9">
        <v>35</v>
      </c>
      <c r="B6" s="9" t="s">
        <v>75</v>
      </c>
      <c r="C6" s="9">
        <v>16</v>
      </c>
      <c r="D6" s="10" t="s">
        <v>716</v>
      </c>
      <c r="E6" s="9" t="s">
        <v>100</v>
      </c>
      <c r="F6" s="20" t="s">
        <v>738</v>
      </c>
      <c r="G6" s="9"/>
      <c r="H6" s="9" t="s">
        <v>101</v>
      </c>
      <c r="I6" s="9" t="s">
        <v>102</v>
      </c>
      <c r="J6" s="11">
        <v>118</v>
      </c>
      <c r="K6" s="9" t="s">
        <v>45</v>
      </c>
      <c r="L6" s="9"/>
      <c r="M6" s="12"/>
      <c r="N6" s="13" t="s">
        <v>61</v>
      </c>
      <c r="O6" s="10"/>
      <c r="P6" s="15"/>
    </row>
    <row r="7" spans="1:16" ht="17">
      <c r="A7" s="9">
        <v>36</v>
      </c>
      <c r="B7" s="9" t="s">
        <v>75</v>
      </c>
      <c r="C7" s="9">
        <v>17</v>
      </c>
      <c r="D7" s="10" t="s">
        <v>737</v>
      </c>
      <c r="E7" s="9" t="s">
        <v>100</v>
      </c>
      <c r="F7" s="20" t="s">
        <v>738</v>
      </c>
      <c r="G7" s="9"/>
      <c r="H7" s="9" t="s">
        <v>736</v>
      </c>
      <c r="I7" s="9" t="s">
        <v>76</v>
      </c>
      <c r="J7" s="11">
        <v>1</v>
      </c>
      <c r="K7" s="9" t="s">
        <v>45</v>
      </c>
      <c r="L7" s="9"/>
      <c r="M7" s="12"/>
      <c r="N7" s="13" t="s">
        <v>61</v>
      </c>
      <c r="O7" s="14" t="s">
        <v>104</v>
      </c>
      <c r="P7" s="15"/>
    </row>
    <row r="8" spans="1:16" ht="17">
      <c r="A8" s="9">
        <v>37</v>
      </c>
      <c r="B8" s="9" t="s">
        <v>75</v>
      </c>
      <c r="C8" s="9">
        <v>18</v>
      </c>
      <c r="D8" s="10" t="s">
        <v>717</v>
      </c>
      <c r="E8" s="20" t="s">
        <v>742</v>
      </c>
      <c r="F8" s="9" t="s">
        <v>739</v>
      </c>
      <c r="G8" s="9"/>
      <c r="H8" s="9" t="s">
        <v>105</v>
      </c>
      <c r="I8" s="9" t="s">
        <v>71</v>
      </c>
      <c r="J8" s="11">
        <v>8</v>
      </c>
      <c r="K8" s="9" t="s">
        <v>45</v>
      </c>
      <c r="L8" s="9"/>
      <c r="M8" s="12"/>
      <c r="N8" s="13" t="s">
        <v>46</v>
      </c>
      <c r="O8" s="10"/>
      <c r="P8" s="15"/>
    </row>
    <row r="9" spans="1:16" ht="17">
      <c r="A9" s="9">
        <v>38</v>
      </c>
      <c r="B9" s="9" t="s">
        <v>75</v>
      </c>
      <c r="C9" s="9">
        <v>19</v>
      </c>
      <c r="D9" s="10" t="s">
        <v>718</v>
      </c>
      <c r="E9" s="20" t="s">
        <v>742</v>
      </c>
      <c r="F9" s="9" t="s">
        <v>740</v>
      </c>
      <c r="G9" s="9"/>
      <c r="H9" s="9" t="s">
        <v>107</v>
      </c>
      <c r="I9" s="9" t="s">
        <v>108</v>
      </c>
      <c r="J9" s="11">
        <f>2+14+6+4</f>
        <v>26</v>
      </c>
      <c r="K9" s="9" t="s">
        <v>45</v>
      </c>
      <c r="L9" s="9"/>
      <c r="M9" s="12"/>
      <c r="N9" s="13" t="s">
        <v>46</v>
      </c>
      <c r="O9" s="14" t="s">
        <v>110</v>
      </c>
      <c r="P9" s="15"/>
    </row>
    <row r="10" spans="1:16" ht="17">
      <c r="A10" s="9">
        <v>39</v>
      </c>
      <c r="B10" s="9" t="s">
        <v>75</v>
      </c>
      <c r="C10" s="9">
        <v>20</v>
      </c>
      <c r="D10" s="10" t="s">
        <v>719</v>
      </c>
      <c r="E10" s="20" t="s">
        <v>742</v>
      </c>
      <c r="F10" s="9" t="s">
        <v>740</v>
      </c>
      <c r="G10" s="9"/>
      <c r="H10" s="9" t="s">
        <v>112</v>
      </c>
      <c r="I10" s="9" t="s">
        <v>113</v>
      </c>
      <c r="J10" s="11">
        <v>24</v>
      </c>
      <c r="K10" s="9" t="s">
        <v>45</v>
      </c>
      <c r="L10" s="9"/>
      <c r="M10" s="12"/>
      <c r="N10" s="13" t="s">
        <v>46</v>
      </c>
      <c r="O10" s="14" t="s">
        <v>114</v>
      </c>
      <c r="P10" s="15"/>
    </row>
    <row r="11" spans="1:16" ht="17">
      <c r="A11" s="9">
        <v>40</v>
      </c>
      <c r="B11" s="9" t="s">
        <v>115</v>
      </c>
      <c r="C11" s="9">
        <v>1</v>
      </c>
      <c r="D11" s="10" t="s">
        <v>720</v>
      </c>
      <c r="E11" s="20" t="s">
        <v>741</v>
      </c>
      <c r="F11" s="9" t="s">
        <v>117</v>
      </c>
      <c r="G11" s="9"/>
      <c r="H11" s="9" t="s">
        <v>118</v>
      </c>
      <c r="I11" s="9" t="s">
        <v>119</v>
      </c>
      <c r="J11" s="11">
        <f>22+1</f>
        <v>23</v>
      </c>
      <c r="K11" s="9" t="s">
        <v>45</v>
      </c>
      <c r="L11" s="9"/>
      <c r="M11" s="12"/>
      <c r="N11" s="13" t="s">
        <v>61</v>
      </c>
      <c r="O11" s="10"/>
      <c r="P11" s="15"/>
    </row>
    <row r="12" spans="1:16" ht="17">
      <c r="A12" s="9">
        <v>42</v>
      </c>
      <c r="B12" s="9" t="s">
        <v>115</v>
      </c>
      <c r="C12" s="9">
        <v>3</v>
      </c>
      <c r="D12" s="10" t="s">
        <v>721</v>
      </c>
      <c r="E12" s="20" t="s">
        <v>742</v>
      </c>
      <c r="F12" s="9" t="s">
        <v>120</v>
      </c>
      <c r="G12" s="9"/>
      <c r="H12" s="9" t="s">
        <v>121</v>
      </c>
      <c r="I12" s="9" t="s">
        <v>122</v>
      </c>
      <c r="J12" s="11">
        <v>29</v>
      </c>
      <c r="K12" s="9" t="s">
        <v>45</v>
      </c>
      <c r="L12" s="9"/>
      <c r="M12" s="12"/>
      <c r="N12" s="13" t="s">
        <v>61</v>
      </c>
      <c r="O12" s="10"/>
      <c r="P12" s="15"/>
    </row>
    <row r="13" spans="1:16" ht="17">
      <c r="A13" s="9">
        <v>43</v>
      </c>
      <c r="B13" s="9" t="s">
        <v>115</v>
      </c>
      <c r="C13" s="9">
        <v>4</v>
      </c>
      <c r="D13" s="10" t="s">
        <v>722</v>
      </c>
      <c r="E13" s="20" t="s">
        <v>742</v>
      </c>
      <c r="F13" s="9" t="s">
        <v>120</v>
      </c>
      <c r="G13" s="9"/>
      <c r="H13" s="9" t="s">
        <v>123</v>
      </c>
      <c r="I13" s="9" t="s">
        <v>44</v>
      </c>
      <c r="J13" s="11">
        <v>13</v>
      </c>
      <c r="K13" s="9" t="s">
        <v>45</v>
      </c>
      <c r="L13" s="9"/>
      <c r="M13" s="12"/>
      <c r="N13" s="13" t="s">
        <v>61</v>
      </c>
      <c r="O13" s="10"/>
      <c r="P13" s="15"/>
    </row>
    <row r="14" spans="1:16" ht="16">
      <c r="A14" s="9">
        <v>44</v>
      </c>
      <c r="B14" s="9" t="s">
        <v>115</v>
      </c>
      <c r="C14" s="9">
        <v>5</v>
      </c>
      <c r="D14" s="10" t="s">
        <v>124</v>
      </c>
      <c r="E14" s="20" t="s">
        <v>742</v>
      </c>
      <c r="F14" s="9" t="s">
        <v>120</v>
      </c>
      <c r="G14" s="9"/>
      <c r="H14" s="9" t="s">
        <v>125</v>
      </c>
      <c r="I14" s="9" t="s">
        <v>69</v>
      </c>
      <c r="J14" s="11">
        <v>9</v>
      </c>
      <c r="K14" s="9" t="s">
        <v>45</v>
      </c>
      <c r="L14" s="9"/>
      <c r="M14" s="12"/>
      <c r="N14" s="13" t="s">
        <v>61</v>
      </c>
      <c r="O14" s="14" t="s">
        <v>126</v>
      </c>
      <c r="P14" s="15"/>
    </row>
    <row r="15" spans="1:16" ht="17">
      <c r="A15" s="9">
        <v>45</v>
      </c>
      <c r="B15" s="9" t="s">
        <v>115</v>
      </c>
      <c r="C15" s="9">
        <v>6</v>
      </c>
      <c r="D15" s="10" t="s">
        <v>723</v>
      </c>
      <c r="E15" s="20" t="s">
        <v>742</v>
      </c>
      <c r="F15" s="9" t="s">
        <v>128</v>
      </c>
      <c r="G15" s="9"/>
      <c r="H15" s="9" t="s">
        <v>129</v>
      </c>
      <c r="I15" s="9" t="s">
        <v>76</v>
      </c>
      <c r="J15" s="11">
        <v>1</v>
      </c>
      <c r="K15" s="9" t="s">
        <v>45</v>
      </c>
      <c r="L15" s="9"/>
      <c r="M15" s="12"/>
      <c r="N15" s="13" t="s">
        <v>61</v>
      </c>
      <c r="O15" s="10"/>
      <c r="P15" s="15"/>
    </row>
    <row r="16" spans="1:16" ht="16">
      <c r="A16" s="9">
        <v>46</v>
      </c>
      <c r="B16" s="9" t="s">
        <v>115</v>
      </c>
      <c r="C16" s="9">
        <v>7</v>
      </c>
      <c r="D16" s="10" t="s">
        <v>130</v>
      </c>
      <c r="E16" s="20" t="s">
        <v>742</v>
      </c>
      <c r="F16" s="9" t="s">
        <v>128</v>
      </c>
      <c r="G16" s="9"/>
      <c r="H16" s="9" t="s">
        <v>131</v>
      </c>
      <c r="I16" s="9" t="s">
        <v>67</v>
      </c>
      <c r="J16" s="11">
        <v>7</v>
      </c>
      <c r="K16" s="9" t="s">
        <v>45</v>
      </c>
      <c r="L16" s="9"/>
      <c r="M16" s="12"/>
      <c r="N16" s="13" t="s">
        <v>61</v>
      </c>
      <c r="O16" s="14" t="s">
        <v>126</v>
      </c>
      <c r="P16" s="15"/>
    </row>
    <row r="17" spans="1:16" ht="16">
      <c r="A17" s="9">
        <v>47</v>
      </c>
      <c r="B17" s="9" t="s">
        <v>115</v>
      </c>
      <c r="C17" s="9">
        <v>8</v>
      </c>
      <c r="D17" s="10" t="s">
        <v>132</v>
      </c>
      <c r="E17" s="20" t="s">
        <v>742</v>
      </c>
      <c r="F17" s="9" t="s">
        <v>128</v>
      </c>
      <c r="G17" s="9"/>
      <c r="H17" s="9" t="s">
        <v>133</v>
      </c>
      <c r="I17" s="9" t="s">
        <v>53</v>
      </c>
      <c r="J17" s="11">
        <v>10</v>
      </c>
      <c r="K17" s="9" t="s">
        <v>45</v>
      </c>
      <c r="L17" s="9"/>
      <c r="M17" s="12"/>
      <c r="N17" s="13" t="s">
        <v>61</v>
      </c>
      <c r="O17" s="10"/>
      <c r="P17" s="15"/>
    </row>
    <row r="18" spans="1:16" ht="16">
      <c r="A18" s="9">
        <v>48</v>
      </c>
      <c r="B18" s="9" t="s">
        <v>115</v>
      </c>
      <c r="C18" s="9">
        <v>9</v>
      </c>
      <c r="D18" s="10" t="s">
        <v>134</v>
      </c>
      <c r="E18" s="20" t="s">
        <v>742</v>
      </c>
      <c r="F18" s="9" t="s">
        <v>135</v>
      </c>
      <c r="G18" s="9" t="s">
        <v>136</v>
      </c>
      <c r="H18" s="9" t="s">
        <v>137</v>
      </c>
      <c r="I18" s="9" t="s">
        <v>69</v>
      </c>
      <c r="J18" s="11">
        <v>9</v>
      </c>
      <c r="K18" s="9" t="s">
        <v>45</v>
      </c>
      <c r="L18" s="9"/>
      <c r="M18" s="12"/>
      <c r="N18" s="13" t="s">
        <v>61</v>
      </c>
      <c r="O18" s="14" t="s">
        <v>138</v>
      </c>
      <c r="P18" s="15"/>
    </row>
    <row r="19" spans="1:16">
      <c r="A19" s="9">
        <v>49</v>
      </c>
      <c r="B19" s="9" t="s">
        <v>115</v>
      </c>
      <c r="C19" s="9">
        <v>10</v>
      </c>
      <c r="D19" s="10" t="s">
        <v>139</v>
      </c>
      <c r="E19" s="9" t="s">
        <v>140</v>
      </c>
      <c r="F19" s="9" t="s">
        <v>141</v>
      </c>
      <c r="G19" s="9" t="s">
        <v>142</v>
      </c>
      <c r="H19" s="9" t="s">
        <v>143</v>
      </c>
      <c r="I19" s="9" t="s">
        <v>144</v>
      </c>
      <c r="J19" s="11">
        <v>28</v>
      </c>
      <c r="K19" s="9" t="s">
        <v>45</v>
      </c>
      <c r="L19" s="9"/>
      <c r="M19" s="12"/>
      <c r="N19" s="13" t="s">
        <v>61</v>
      </c>
      <c r="O19" s="10"/>
      <c r="P19" s="15"/>
    </row>
    <row r="20" spans="1:16">
      <c r="A20" s="9">
        <v>50</v>
      </c>
      <c r="B20" s="9" t="s">
        <v>115</v>
      </c>
      <c r="C20" s="9">
        <v>11</v>
      </c>
      <c r="D20" s="10" t="s">
        <v>145</v>
      </c>
      <c r="E20" s="9" t="s">
        <v>140</v>
      </c>
      <c r="F20" s="9" t="s">
        <v>141</v>
      </c>
      <c r="G20" s="9" t="s">
        <v>142</v>
      </c>
      <c r="H20" s="9" t="s">
        <v>146</v>
      </c>
      <c r="I20" s="9" t="s">
        <v>147</v>
      </c>
      <c r="J20" s="11">
        <v>295</v>
      </c>
      <c r="K20" s="9" t="s">
        <v>45</v>
      </c>
      <c r="L20" s="9"/>
      <c r="M20" s="12"/>
      <c r="N20" s="13" t="s">
        <v>61</v>
      </c>
      <c r="O20" s="10"/>
      <c r="P20" s="15"/>
    </row>
    <row r="21" spans="1:16" ht="16">
      <c r="A21" s="9">
        <v>51</v>
      </c>
      <c r="B21" s="9" t="s">
        <v>115</v>
      </c>
      <c r="C21" s="9">
        <v>12</v>
      </c>
      <c r="D21" s="10" t="s">
        <v>148</v>
      </c>
      <c r="E21" s="20" t="s">
        <v>742</v>
      </c>
      <c r="F21" s="9" t="s">
        <v>128</v>
      </c>
      <c r="G21" s="9"/>
      <c r="H21" s="9" t="s">
        <v>149</v>
      </c>
      <c r="I21" s="9" t="s">
        <v>76</v>
      </c>
      <c r="J21" s="11">
        <v>1</v>
      </c>
      <c r="K21" s="9" t="s">
        <v>45</v>
      </c>
      <c r="L21" s="9"/>
      <c r="M21" s="12"/>
      <c r="N21" s="13" t="s">
        <v>61</v>
      </c>
      <c r="O21" s="10"/>
      <c r="P21" s="15"/>
    </row>
    <row r="22" spans="1:16" ht="16">
      <c r="A22" s="9">
        <v>62</v>
      </c>
      <c r="B22" s="9" t="s">
        <v>153</v>
      </c>
      <c r="C22" s="9">
        <v>10</v>
      </c>
      <c r="D22" s="10" t="s">
        <v>167</v>
      </c>
      <c r="E22" s="20" t="s">
        <v>743</v>
      </c>
      <c r="F22" s="9" t="s">
        <v>168</v>
      </c>
      <c r="G22" s="9"/>
      <c r="H22" s="9" t="s">
        <v>169</v>
      </c>
      <c r="I22" s="9" t="s">
        <v>160</v>
      </c>
      <c r="J22" s="11">
        <v>1</v>
      </c>
      <c r="K22" s="9" t="s">
        <v>156</v>
      </c>
      <c r="L22" s="9"/>
      <c r="M22" s="12"/>
      <c r="N22" s="13" t="s">
        <v>46</v>
      </c>
      <c r="O22" s="10"/>
      <c r="P22" s="15"/>
    </row>
    <row r="23" spans="1:16">
      <c r="A23" s="9">
        <v>70</v>
      </c>
      <c r="B23" s="9" t="s">
        <v>176</v>
      </c>
      <c r="C23" s="9">
        <v>1</v>
      </c>
      <c r="D23" s="10" t="s">
        <v>177</v>
      </c>
      <c r="E23" s="9" t="s">
        <v>178</v>
      </c>
      <c r="F23" s="9" t="s">
        <v>179</v>
      </c>
      <c r="G23" s="9" t="s">
        <v>180</v>
      </c>
      <c r="H23" s="9" t="s">
        <v>181</v>
      </c>
      <c r="I23" s="9" t="s">
        <v>160</v>
      </c>
      <c r="J23" s="11">
        <v>1</v>
      </c>
      <c r="K23" s="9" t="s">
        <v>45</v>
      </c>
      <c r="L23" s="9"/>
      <c r="M23" s="12"/>
      <c r="N23" s="13" t="s">
        <v>61</v>
      </c>
      <c r="O23" s="14" t="s">
        <v>157</v>
      </c>
      <c r="P23" s="15"/>
    </row>
    <row r="24" spans="1:16">
      <c r="A24" s="9">
        <v>71</v>
      </c>
      <c r="B24" s="9" t="s">
        <v>176</v>
      </c>
      <c r="C24" s="9">
        <v>2</v>
      </c>
      <c r="D24" s="10" t="s">
        <v>182</v>
      </c>
      <c r="E24" s="9" t="s">
        <v>178</v>
      </c>
      <c r="F24" s="9" t="s">
        <v>179</v>
      </c>
      <c r="G24" s="9" t="s">
        <v>183</v>
      </c>
      <c r="H24" s="9" t="s">
        <v>184</v>
      </c>
      <c r="I24" s="9" t="s">
        <v>185</v>
      </c>
      <c r="J24" s="11">
        <v>13</v>
      </c>
      <c r="K24" s="9" t="s">
        <v>45</v>
      </c>
      <c r="L24" s="9"/>
      <c r="M24" s="12"/>
      <c r="N24" s="13" t="s">
        <v>61</v>
      </c>
      <c r="O24" s="10"/>
      <c r="P24" s="15"/>
    </row>
    <row r="25" spans="1:16">
      <c r="A25" s="9">
        <v>72</v>
      </c>
      <c r="B25" s="9" t="s">
        <v>176</v>
      </c>
      <c r="C25" s="9">
        <v>3</v>
      </c>
      <c r="D25" s="10" t="s">
        <v>186</v>
      </c>
      <c r="E25" s="9" t="s">
        <v>178</v>
      </c>
      <c r="F25" s="9" t="s">
        <v>179</v>
      </c>
      <c r="G25" s="9" t="s">
        <v>183</v>
      </c>
      <c r="H25" s="9" t="s">
        <v>187</v>
      </c>
      <c r="I25" s="9" t="s">
        <v>188</v>
      </c>
      <c r="J25" s="11">
        <v>9</v>
      </c>
      <c r="K25" s="9" t="s">
        <v>45</v>
      </c>
      <c r="L25" s="9"/>
      <c r="M25" s="12"/>
      <c r="N25" s="13" t="s">
        <v>61</v>
      </c>
      <c r="O25" s="10"/>
      <c r="P25" s="15"/>
    </row>
    <row r="26" spans="1:16">
      <c r="A26" s="9">
        <v>73</v>
      </c>
      <c r="B26" s="9" t="s">
        <v>176</v>
      </c>
      <c r="C26" s="9">
        <v>4</v>
      </c>
      <c r="D26" s="10" t="s">
        <v>189</v>
      </c>
      <c r="E26" s="9" t="s">
        <v>178</v>
      </c>
      <c r="F26" s="9" t="s">
        <v>179</v>
      </c>
      <c r="G26" s="9" t="s">
        <v>183</v>
      </c>
      <c r="H26" s="9" t="s">
        <v>190</v>
      </c>
      <c r="I26" s="9" t="s">
        <v>191</v>
      </c>
      <c r="J26" s="11">
        <v>4</v>
      </c>
      <c r="K26" s="9" t="s">
        <v>45</v>
      </c>
      <c r="L26" s="9"/>
      <c r="M26" s="12"/>
      <c r="N26" s="13" t="s">
        <v>61</v>
      </c>
      <c r="O26" s="10"/>
      <c r="P26" s="15"/>
    </row>
    <row r="27" spans="1:16">
      <c r="A27" s="9">
        <v>74</v>
      </c>
      <c r="B27" s="9" t="s">
        <v>176</v>
      </c>
      <c r="C27" s="9">
        <v>5</v>
      </c>
      <c r="D27" s="10" t="s">
        <v>192</v>
      </c>
      <c r="E27" s="9" t="s">
        <v>178</v>
      </c>
      <c r="F27" s="9" t="s">
        <v>179</v>
      </c>
      <c r="G27" s="9" t="s">
        <v>183</v>
      </c>
      <c r="H27" s="9" t="s">
        <v>193</v>
      </c>
      <c r="I27" s="9" t="s">
        <v>77</v>
      </c>
      <c r="J27" s="11">
        <v>30</v>
      </c>
      <c r="K27" s="9" t="s">
        <v>45</v>
      </c>
      <c r="L27" s="9"/>
      <c r="M27" s="12"/>
      <c r="N27" s="13" t="s">
        <v>61</v>
      </c>
      <c r="O27" s="10"/>
      <c r="P27" s="15"/>
    </row>
    <row r="28" spans="1:16">
      <c r="A28" s="9">
        <v>75</v>
      </c>
      <c r="B28" s="9" t="s">
        <v>176</v>
      </c>
      <c r="C28" s="9">
        <v>6</v>
      </c>
      <c r="D28" s="10" t="s">
        <v>194</v>
      </c>
      <c r="E28" s="9" t="s">
        <v>178</v>
      </c>
      <c r="F28" s="9" t="s">
        <v>179</v>
      </c>
      <c r="G28" s="9" t="s">
        <v>183</v>
      </c>
      <c r="H28" s="9" t="s">
        <v>195</v>
      </c>
      <c r="I28" s="9" t="s">
        <v>196</v>
      </c>
      <c r="J28" s="11">
        <v>12</v>
      </c>
      <c r="K28" s="9" t="s">
        <v>45</v>
      </c>
      <c r="L28" s="9"/>
      <c r="M28" s="12"/>
      <c r="N28" s="13" t="s">
        <v>61</v>
      </c>
      <c r="O28" s="14" t="s">
        <v>197</v>
      </c>
      <c r="P28" s="15"/>
    </row>
    <row r="29" spans="1:16">
      <c r="A29" s="9">
        <v>76</v>
      </c>
      <c r="B29" s="9" t="s">
        <v>176</v>
      </c>
      <c r="C29" s="9">
        <v>7</v>
      </c>
      <c r="D29" s="10" t="s">
        <v>198</v>
      </c>
      <c r="E29" s="9" t="s">
        <v>178</v>
      </c>
      <c r="F29" s="9" t="s">
        <v>179</v>
      </c>
      <c r="G29" s="9" t="s">
        <v>183</v>
      </c>
      <c r="H29" s="9" t="s">
        <v>199</v>
      </c>
      <c r="I29" s="9" t="s">
        <v>200</v>
      </c>
      <c r="J29" s="11">
        <v>16</v>
      </c>
      <c r="K29" s="9" t="s">
        <v>45</v>
      </c>
      <c r="L29" s="9"/>
      <c r="M29" s="12"/>
      <c r="N29" s="13" t="s">
        <v>61</v>
      </c>
      <c r="O29" s="10"/>
      <c r="P29" s="15"/>
    </row>
    <row r="30" spans="1:16" ht="17">
      <c r="A30" s="9">
        <v>77</v>
      </c>
      <c r="B30" s="9" t="s">
        <v>176</v>
      </c>
      <c r="C30" s="9">
        <v>8</v>
      </c>
      <c r="D30" s="19" t="s">
        <v>724</v>
      </c>
      <c r="E30" s="9" t="s">
        <v>178</v>
      </c>
      <c r="F30" s="9" t="s">
        <v>179</v>
      </c>
      <c r="G30" s="9"/>
      <c r="H30" s="9" t="s">
        <v>202</v>
      </c>
      <c r="I30" s="9" t="s">
        <v>203</v>
      </c>
      <c r="J30" s="11">
        <f>2+2+15</f>
        <v>19</v>
      </c>
      <c r="K30" s="9" t="s">
        <v>45</v>
      </c>
      <c r="L30" s="9"/>
      <c r="M30" s="12"/>
      <c r="N30" s="13" t="s">
        <v>61</v>
      </c>
      <c r="O30" s="14" t="s">
        <v>204</v>
      </c>
      <c r="P30" s="15"/>
    </row>
    <row r="31" spans="1:16" ht="17">
      <c r="A31" s="9">
        <v>78</v>
      </c>
      <c r="B31" s="9" t="s">
        <v>176</v>
      </c>
      <c r="C31" s="9">
        <v>9</v>
      </c>
      <c r="D31" s="19" t="s">
        <v>710</v>
      </c>
      <c r="E31" s="9" t="s">
        <v>178</v>
      </c>
      <c r="F31" s="9" t="s">
        <v>179</v>
      </c>
      <c r="G31" s="20" t="s">
        <v>731</v>
      </c>
      <c r="H31" s="9" t="s">
        <v>207</v>
      </c>
      <c r="I31" s="9" t="s">
        <v>208</v>
      </c>
      <c r="J31" s="11">
        <f>1+1</f>
        <v>2</v>
      </c>
      <c r="K31" s="9" t="s">
        <v>45</v>
      </c>
      <c r="L31" s="9"/>
      <c r="M31" s="12"/>
      <c r="N31" s="13" t="s">
        <v>61</v>
      </c>
      <c r="O31" s="14" t="s">
        <v>209</v>
      </c>
      <c r="P31" s="15"/>
    </row>
    <row r="32" spans="1:16">
      <c r="A32" s="9">
        <v>79</v>
      </c>
      <c r="B32" s="9" t="s">
        <v>176</v>
      </c>
      <c r="C32" s="9">
        <v>10</v>
      </c>
      <c r="D32" s="10" t="s">
        <v>210</v>
      </c>
      <c r="E32" s="9" t="s">
        <v>178</v>
      </c>
      <c r="F32" s="9" t="s">
        <v>179</v>
      </c>
      <c r="G32" s="9" t="s">
        <v>211</v>
      </c>
      <c r="H32" s="9" t="s">
        <v>212</v>
      </c>
      <c r="I32" s="9" t="s">
        <v>213</v>
      </c>
      <c r="J32" s="11">
        <v>34</v>
      </c>
      <c r="K32" s="9" t="s">
        <v>45</v>
      </c>
      <c r="L32" s="9"/>
      <c r="M32" s="12"/>
      <c r="N32" s="13" t="s">
        <v>61</v>
      </c>
      <c r="O32" s="14" t="s">
        <v>214</v>
      </c>
      <c r="P32" s="15"/>
    </row>
    <row r="33" spans="1:16" ht="17">
      <c r="A33" s="9">
        <v>80</v>
      </c>
      <c r="B33" s="9" t="s">
        <v>176</v>
      </c>
      <c r="C33" s="9">
        <v>11</v>
      </c>
      <c r="D33" s="19" t="s">
        <v>711</v>
      </c>
      <c r="E33" s="9" t="s">
        <v>178</v>
      </c>
      <c r="F33" s="9" t="s">
        <v>179</v>
      </c>
      <c r="G33" s="9" t="s">
        <v>211</v>
      </c>
      <c r="H33" s="9" t="s">
        <v>215</v>
      </c>
      <c r="I33" s="9" t="s">
        <v>80</v>
      </c>
      <c r="J33" s="11">
        <v>22</v>
      </c>
      <c r="K33" s="9" t="s">
        <v>45</v>
      </c>
      <c r="L33" s="9"/>
      <c r="M33" s="12"/>
      <c r="N33" s="13" t="s">
        <v>61</v>
      </c>
      <c r="O33" s="10"/>
      <c r="P33" s="15"/>
    </row>
    <row r="34" spans="1:16" ht="16">
      <c r="A34" s="9">
        <v>81</v>
      </c>
      <c r="B34" s="9" t="s">
        <v>176</v>
      </c>
      <c r="C34" s="9">
        <v>12</v>
      </c>
      <c r="D34" s="10" t="s">
        <v>216</v>
      </c>
      <c r="E34" s="20" t="s">
        <v>744</v>
      </c>
      <c r="F34" s="9" t="s">
        <v>217</v>
      </c>
      <c r="G34" s="9"/>
      <c r="H34" s="9" t="s">
        <v>218</v>
      </c>
      <c r="I34" s="9" t="s">
        <v>160</v>
      </c>
      <c r="J34" s="11">
        <v>1</v>
      </c>
      <c r="K34" s="9" t="s">
        <v>45</v>
      </c>
      <c r="L34" s="9"/>
      <c r="M34" s="12"/>
      <c r="N34" s="13" t="s">
        <v>61</v>
      </c>
      <c r="O34" s="10"/>
      <c r="P34" s="15"/>
    </row>
    <row r="35" spans="1:16" ht="16">
      <c r="A35" s="9">
        <v>82</v>
      </c>
      <c r="B35" s="9" t="s">
        <v>176</v>
      </c>
      <c r="C35" s="9">
        <v>13</v>
      </c>
      <c r="D35" s="10" t="s">
        <v>219</v>
      </c>
      <c r="E35" s="20" t="s">
        <v>732</v>
      </c>
      <c r="F35" s="9" t="s">
        <v>220</v>
      </c>
      <c r="G35" s="9"/>
      <c r="H35" s="9" t="s">
        <v>221</v>
      </c>
      <c r="I35" s="9" t="s">
        <v>77</v>
      </c>
      <c r="J35" s="11">
        <v>30</v>
      </c>
      <c r="K35" s="9" t="s">
        <v>45</v>
      </c>
      <c r="L35" s="9"/>
      <c r="M35" s="12"/>
      <c r="N35" s="13" t="s">
        <v>61</v>
      </c>
      <c r="O35" s="10"/>
      <c r="P35" s="15"/>
    </row>
    <row r="36" spans="1:16" ht="16">
      <c r="A36" s="9">
        <v>83</v>
      </c>
      <c r="B36" s="9" t="s">
        <v>176</v>
      </c>
      <c r="C36" s="9">
        <v>14</v>
      </c>
      <c r="D36" s="10" t="s">
        <v>222</v>
      </c>
      <c r="E36" s="20" t="s">
        <v>732</v>
      </c>
      <c r="F36" s="9" t="s">
        <v>223</v>
      </c>
      <c r="G36" s="9"/>
      <c r="H36" s="9" t="s">
        <v>224</v>
      </c>
      <c r="I36" s="9" t="s">
        <v>171</v>
      </c>
      <c r="J36" s="11">
        <v>3</v>
      </c>
      <c r="K36" s="9" t="s">
        <v>45</v>
      </c>
      <c r="L36" s="9"/>
      <c r="M36" s="12"/>
      <c r="N36" s="13" t="s">
        <v>61</v>
      </c>
      <c r="O36" s="10"/>
      <c r="P36" s="15"/>
    </row>
    <row r="37" spans="1:16" ht="17">
      <c r="A37" s="9">
        <v>84</v>
      </c>
      <c r="B37" s="9" t="s">
        <v>176</v>
      </c>
      <c r="C37" s="9">
        <v>15</v>
      </c>
      <c r="D37" s="19" t="s">
        <v>725</v>
      </c>
      <c r="E37" s="20" t="s">
        <v>745</v>
      </c>
      <c r="F37" s="9" t="s">
        <v>226</v>
      </c>
      <c r="G37" s="9"/>
      <c r="H37" s="9" t="s">
        <v>227</v>
      </c>
      <c r="I37" s="9" t="s">
        <v>164</v>
      </c>
      <c r="J37" s="11">
        <v>2</v>
      </c>
      <c r="K37" s="9" t="s">
        <v>45</v>
      </c>
      <c r="L37" s="9"/>
      <c r="M37" s="12"/>
      <c r="N37" s="13" t="s">
        <v>61</v>
      </c>
      <c r="O37" s="10"/>
      <c r="P37" s="15"/>
    </row>
    <row r="38" spans="1:16" ht="17">
      <c r="A38" s="9">
        <v>85</v>
      </c>
      <c r="B38" s="9" t="s">
        <v>176</v>
      </c>
      <c r="C38" s="9">
        <v>16</v>
      </c>
      <c r="D38" s="19" t="s">
        <v>726</v>
      </c>
      <c r="E38" s="9" t="s">
        <v>225</v>
      </c>
      <c r="F38" s="9" t="s">
        <v>226</v>
      </c>
      <c r="G38" s="9"/>
      <c r="H38" s="9" t="s">
        <v>228</v>
      </c>
      <c r="I38" s="9" t="s">
        <v>84</v>
      </c>
      <c r="J38" s="11">
        <v>20</v>
      </c>
      <c r="K38" s="9" t="s">
        <v>45</v>
      </c>
      <c r="L38" s="9"/>
      <c r="M38" s="12"/>
      <c r="N38" s="13" t="s">
        <v>61</v>
      </c>
      <c r="O38" s="10"/>
      <c r="P38" s="15"/>
    </row>
    <row r="39" spans="1:16">
      <c r="A39" s="9">
        <v>86</v>
      </c>
      <c r="B39" s="9" t="s">
        <v>176</v>
      </c>
      <c r="C39" s="9">
        <v>17</v>
      </c>
      <c r="D39" s="10" t="s">
        <v>229</v>
      </c>
      <c r="E39" s="9" t="s">
        <v>116</v>
      </c>
      <c r="F39" s="9" t="s">
        <v>230</v>
      </c>
      <c r="G39" s="9"/>
      <c r="H39" s="9" t="s">
        <v>231</v>
      </c>
      <c r="I39" s="9" t="s">
        <v>164</v>
      </c>
      <c r="J39" s="11">
        <v>2</v>
      </c>
      <c r="K39" s="9" t="s">
        <v>45</v>
      </c>
      <c r="L39" s="9"/>
      <c r="M39" s="12"/>
      <c r="N39" s="13" t="s">
        <v>61</v>
      </c>
      <c r="O39" s="10"/>
      <c r="P39" s="15"/>
    </row>
    <row r="40" spans="1:16">
      <c r="A40" s="9">
        <v>87</v>
      </c>
      <c r="B40" s="9" t="s">
        <v>176</v>
      </c>
      <c r="C40" s="9">
        <v>18</v>
      </c>
      <c r="D40" s="10" t="s">
        <v>232</v>
      </c>
      <c r="E40" s="9" t="s">
        <v>116</v>
      </c>
      <c r="F40" s="9" t="s">
        <v>230</v>
      </c>
      <c r="G40" s="9"/>
      <c r="H40" s="9" t="s">
        <v>233</v>
      </c>
      <c r="I40" s="9" t="s">
        <v>160</v>
      </c>
      <c r="J40" s="11">
        <v>1</v>
      </c>
      <c r="K40" s="9" t="s">
        <v>45</v>
      </c>
      <c r="L40" s="9"/>
      <c r="M40" s="12"/>
      <c r="N40" s="13" t="s">
        <v>61</v>
      </c>
      <c r="O40" s="10"/>
      <c r="P40" s="15"/>
    </row>
    <row r="41" spans="1:16">
      <c r="A41" s="9">
        <v>88</v>
      </c>
      <c r="B41" s="9" t="s">
        <v>176</v>
      </c>
      <c r="C41" s="9">
        <v>19</v>
      </c>
      <c r="D41" s="10" t="s">
        <v>234</v>
      </c>
      <c r="E41" s="9" t="s">
        <v>116</v>
      </c>
      <c r="F41" s="9" t="s">
        <v>230</v>
      </c>
      <c r="G41" s="9"/>
      <c r="H41" s="9" t="s">
        <v>235</v>
      </c>
      <c r="I41" s="9" t="s">
        <v>160</v>
      </c>
      <c r="J41" s="11">
        <v>1</v>
      </c>
      <c r="K41" s="9" t="s">
        <v>45</v>
      </c>
      <c r="L41" s="9"/>
      <c r="M41" s="12"/>
      <c r="N41" s="13" t="s">
        <v>61</v>
      </c>
      <c r="O41" s="10"/>
      <c r="P41" s="15"/>
    </row>
    <row r="42" spans="1:16">
      <c r="A42" s="9">
        <v>89</v>
      </c>
      <c r="B42" s="9" t="s">
        <v>236</v>
      </c>
      <c r="C42" s="9">
        <v>1</v>
      </c>
      <c r="D42" s="10" t="s">
        <v>237</v>
      </c>
      <c r="E42" s="9" t="s">
        <v>57</v>
      </c>
      <c r="F42" s="9" t="s">
        <v>238</v>
      </c>
      <c r="G42" s="9"/>
      <c r="H42" s="9" t="s">
        <v>239</v>
      </c>
      <c r="I42" s="9" t="s">
        <v>175</v>
      </c>
      <c r="J42" s="11">
        <v>5</v>
      </c>
      <c r="K42" s="9" t="s">
        <v>45</v>
      </c>
      <c r="L42" s="9"/>
      <c r="M42" s="12"/>
      <c r="N42" s="13" t="s">
        <v>61</v>
      </c>
      <c r="O42" s="14" t="s">
        <v>157</v>
      </c>
      <c r="P42" s="15"/>
    </row>
    <row r="43" spans="1:16">
      <c r="A43" s="9">
        <v>90</v>
      </c>
      <c r="B43" s="9" t="s">
        <v>236</v>
      </c>
      <c r="C43" s="9">
        <v>2</v>
      </c>
      <c r="D43" s="10" t="s">
        <v>240</v>
      </c>
      <c r="E43" s="9" t="s">
        <v>57</v>
      </c>
      <c r="F43" s="9" t="s">
        <v>238</v>
      </c>
      <c r="G43" s="9"/>
      <c r="H43" s="9" t="s">
        <v>241</v>
      </c>
      <c r="I43" s="9" t="s">
        <v>171</v>
      </c>
      <c r="J43" s="11">
        <v>3</v>
      </c>
      <c r="K43" s="9" t="s">
        <v>45</v>
      </c>
      <c r="L43" s="9"/>
      <c r="M43" s="12"/>
      <c r="N43" s="13" t="s">
        <v>61</v>
      </c>
      <c r="O43" s="10"/>
      <c r="P43" s="15"/>
    </row>
    <row r="44" spans="1:16">
      <c r="A44" s="9">
        <v>91</v>
      </c>
      <c r="B44" s="9" t="s">
        <v>236</v>
      </c>
      <c r="C44" s="9">
        <v>3</v>
      </c>
      <c r="D44" s="10" t="s">
        <v>242</v>
      </c>
      <c r="E44" s="9" t="s">
        <v>57</v>
      </c>
      <c r="F44" s="9" t="s">
        <v>238</v>
      </c>
      <c r="G44" s="9"/>
      <c r="H44" s="9" t="s">
        <v>243</v>
      </c>
      <c r="I44" s="9" t="s">
        <v>171</v>
      </c>
      <c r="J44" s="11">
        <v>3</v>
      </c>
      <c r="K44" s="9" t="s">
        <v>45</v>
      </c>
      <c r="L44" s="9"/>
      <c r="M44" s="12"/>
      <c r="N44" s="13" t="s">
        <v>61</v>
      </c>
      <c r="O44" s="14" t="s">
        <v>244</v>
      </c>
      <c r="P44" s="15"/>
    </row>
    <row r="45" spans="1:16">
      <c r="A45" s="9">
        <v>92</v>
      </c>
      <c r="B45" s="9" t="s">
        <v>236</v>
      </c>
      <c r="C45" s="9">
        <v>4</v>
      </c>
      <c r="D45" s="10" t="s">
        <v>245</v>
      </c>
      <c r="E45" s="9" t="s">
        <v>57</v>
      </c>
      <c r="F45" s="9" t="s">
        <v>238</v>
      </c>
      <c r="G45" s="9"/>
      <c r="H45" s="9" t="s">
        <v>246</v>
      </c>
      <c r="I45" s="9" t="s">
        <v>164</v>
      </c>
      <c r="J45" s="11">
        <v>2</v>
      </c>
      <c r="K45" s="9" t="s">
        <v>45</v>
      </c>
      <c r="L45" s="9"/>
      <c r="M45" s="12"/>
      <c r="N45" s="13" t="s">
        <v>61</v>
      </c>
      <c r="O45" s="10"/>
      <c r="P45" s="15"/>
    </row>
    <row r="46" spans="1:16" ht="17">
      <c r="A46" s="9">
        <v>93</v>
      </c>
      <c r="B46" s="9" t="s">
        <v>236</v>
      </c>
      <c r="C46" s="9">
        <v>5</v>
      </c>
      <c r="D46" s="19" t="s">
        <v>727</v>
      </c>
      <c r="E46" s="20" t="s">
        <v>741</v>
      </c>
      <c r="F46" s="20" t="s">
        <v>746</v>
      </c>
      <c r="G46" s="9"/>
      <c r="H46" s="9" t="s">
        <v>248</v>
      </c>
      <c r="I46" s="9" t="s">
        <v>172</v>
      </c>
      <c r="J46" s="11">
        <v>6</v>
      </c>
      <c r="K46" s="9" t="s">
        <v>45</v>
      </c>
      <c r="L46" s="9"/>
      <c r="M46" s="12"/>
      <c r="N46" s="13" t="s">
        <v>46</v>
      </c>
      <c r="O46" s="14" t="s">
        <v>249</v>
      </c>
      <c r="P46" s="15"/>
    </row>
    <row r="47" spans="1:16">
      <c r="A47" s="9">
        <v>94</v>
      </c>
      <c r="B47" s="9" t="s">
        <v>236</v>
      </c>
      <c r="C47" s="9">
        <v>6</v>
      </c>
      <c r="D47" s="10" t="s">
        <v>250</v>
      </c>
      <c r="E47" s="9" t="s">
        <v>57</v>
      </c>
      <c r="F47" s="9" t="s">
        <v>251</v>
      </c>
      <c r="G47" s="9"/>
      <c r="H47" s="9" t="s">
        <v>252</v>
      </c>
      <c r="I47" s="9" t="s">
        <v>253</v>
      </c>
      <c r="J47" s="11">
        <v>39</v>
      </c>
      <c r="K47" s="9" t="s">
        <v>45</v>
      </c>
      <c r="L47" s="9"/>
      <c r="M47" s="12"/>
      <c r="N47" s="13" t="s">
        <v>61</v>
      </c>
      <c r="O47" s="10"/>
      <c r="P47" s="15"/>
    </row>
    <row r="48" spans="1:16">
      <c r="A48" s="9">
        <v>95</v>
      </c>
      <c r="B48" s="9" t="s">
        <v>236</v>
      </c>
      <c r="C48" s="9">
        <v>7</v>
      </c>
      <c r="D48" s="10" t="s">
        <v>254</v>
      </c>
      <c r="E48" s="9" t="s">
        <v>127</v>
      </c>
      <c r="F48" s="9" t="s">
        <v>255</v>
      </c>
      <c r="G48" s="9"/>
      <c r="H48" s="9" t="s">
        <v>256</v>
      </c>
      <c r="I48" s="9" t="s">
        <v>257</v>
      </c>
      <c r="J48" s="11">
        <v>15</v>
      </c>
      <c r="K48" s="9" t="s">
        <v>45</v>
      </c>
      <c r="L48" s="9"/>
      <c r="M48" s="12"/>
      <c r="N48" s="13" t="s">
        <v>61</v>
      </c>
      <c r="O48" s="14" t="s">
        <v>197</v>
      </c>
      <c r="P48" s="15"/>
    </row>
    <row r="49" spans="1:16">
      <c r="A49" s="9">
        <v>96</v>
      </c>
      <c r="B49" s="9" t="s">
        <v>236</v>
      </c>
      <c r="C49" s="9">
        <v>8</v>
      </c>
      <c r="D49" s="10" t="s">
        <v>258</v>
      </c>
      <c r="E49" s="9" t="s">
        <v>127</v>
      </c>
      <c r="F49" s="9" t="s">
        <v>255</v>
      </c>
      <c r="G49" s="9"/>
      <c r="H49" s="9" t="s">
        <v>259</v>
      </c>
      <c r="I49" s="9" t="s">
        <v>63</v>
      </c>
      <c r="J49" s="11">
        <v>45</v>
      </c>
      <c r="K49" s="9" t="s">
        <v>45</v>
      </c>
      <c r="L49" s="9"/>
      <c r="M49" s="12"/>
      <c r="N49" s="13" t="s">
        <v>61</v>
      </c>
      <c r="O49" s="10"/>
      <c r="P49" s="15"/>
    </row>
    <row r="50" spans="1:16">
      <c r="A50" s="9">
        <v>97</v>
      </c>
      <c r="B50" s="9" t="s">
        <v>236</v>
      </c>
      <c r="C50" s="9">
        <v>9</v>
      </c>
      <c r="D50" s="10" t="s">
        <v>260</v>
      </c>
      <c r="E50" s="9" t="s">
        <v>127</v>
      </c>
      <c r="F50" s="9" t="s">
        <v>255</v>
      </c>
      <c r="G50" s="9"/>
      <c r="H50" s="9" t="s">
        <v>261</v>
      </c>
      <c r="I50" s="9" t="s">
        <v>262</v>
      </c>
      <c r="J50" s="11">
        <f>8+15+1</f>
        <v>24</v>
      </c>
      <c r="K50" s="9" t="s">
        <v>45</v>
      </c>
      <c r="L50" s="9"/>
      <c r="M50" s="12"/>
      <c r="N50" s="13" t="s">
        <v>61</v>
      </c>
      <c r="O50" s="10"/>
      <c r="P50" s="15"/>
    </row>
    <row r="51" spans="1:16">
      <c r="A51" s="9">
        <v>98</v>
      </c>
      <c r="B51" s="9" t="s">
        <v>236</v>
      </c>
      <c r="C51" s="9">
        <v>10</v>
      </c>
      <c r="D51" s="10" t="s">
        <v>263</v>
      </c>
      <c r="E51" s="9" t="s">
        <v>127</v>
      </c>
      <c r="F51" s="9" t="s">
        <v>255</v>
      </c>
      <c r="G51" s="9"/>
      <c r="H51" s="9" t="s">
        <v>264</v>
      </c>
      <c r="I51" s="9" t="s">
        <v>63</v>
      </c>
      <c r="J51" s="11">
        <v>45</v>
      </c>
      <c r="K51" s="9" t="s">
        <v>45</v>
      </c>
      <c r="L51" s="9"/>
      <c r="M51" s="12"/>
      <c r="N51" s="13" t="s">
        <v>61</v>
      </c>
      <c r="O51" s="10"/>
      <c r="P51" s="15"/>
    </row>
    <row r="52" spans="1:16">
      <c r="A52" s="9">
        <v>99</v>
      </c>
      <c r="B52" s="9" t="s">
        <v>236</v>
      </c>
      <c r="C52" s="9">
        <v>11</v>
      </c>
      <c r="D52" s="10" t="s">
        <v>265</v>
      </c>
      <c r="E52" s="9" t="s">
        <v>127</v>
      </c>
      <c r="F52" s="9" t="s">
        <v>255</v>
      </c>
      <c r="G52" s="9"/>
      <c r="H52" s="9" t="s">
        <v>266</v>
      </c>
      <c r="I52" s="9" t="s">
        <v>191</v>
      </c>
      <c r="J52" s="11">
        <v>4</v>
      </c>
      <c r="K52" s="9" t="s">
        <v>45</v>
      </c>
      <c r="L52" s="9"/>
      <c r="M52" s="12"/>
      <c r="N52" s="13" t="s">
        <v>61</v>
      </c>
      <c r="O52" s="10"/>
      <c r="P52" s="15"/>
    </row>
    <row r="53" spans="1:16">
      <c r="A53" s="9">
        <v>100</v>
      </c>
      <c r="B53" s="9" t="s">
        <v>236</v>
      </c>
      <c r="C53" s="9">
        <v>12</v>
      </c>
      <c r="D53" s="10" t="s">
        <v>267</v>
      </c>
      <c r="E53" s="9" t="s">
        <v>127</v>
      </c>
      <c r="F53" s="9" t="s">
        <v>255</v>
      </c>
      <c r="G53" s="9"/>
      <c r="H53" s="9" t="s">
        <v>268</v>
      </c>
      <c r="I53" s="9" t="s">
        <v>196</v>
      </c>
      <c r="J53" s="11">
        <v>12</v>
      </c>
      <c r="K53" s="9" t="s">
        <v>45</v>
      </c>
      <c r="L53" s="9"/>
      <c r="M53" s="12"/>
      <c r="N53" s="13" t="s">
        <v>61</v>
      </c>
      <c r="O53" s="10"/>
      <c r="P53" s="15"/>
    </row>
    <row r="54" spans="1:16">
      <c r="A54" s="9">
        <v>101</v>
      </c>
      <c r="B54" s="9" t="s">
        <v>236</v>
      </c>
      <c r="C54" s="9">
        <v>13</v>
      </c>
      <c r="D54" s="10" t="s">
        <v>269</v>
      </c>
      <c r="E54" s="9" t="s">
        <v>178</v>
      </c>
      <c r="F54" s="9" t="s">
        <v>179</v>
      </c>
      <c r="G54" s="9"/>
      <c r="H54" s="9" t="s">
        <v>270</v>
      </c>
      <c r="I54" s="9" t="s">
        <v>160</v>
      </c>
      <c r="J54" s="11">
        <v>1</v>
      </c>
      <c r="K54" s="9" t="s">
        <v>45</v>
      </c>
      <c r="L54" s="9"/>
      <c r="M54" s="12"/>
      <c r="N54" s="13" t="s">
        <v>61</v>
      </c>
      <c r="O54" s="14" t="s">
        <v>114</v>
      </c>
      <c r="P54" s="15"/>
    </row>
    <row r="55" spans="1:16">
      <c r="A55" s="9">
        <v>102</v>
      </c>
      <c r="B55" s="9" t="s">
        <v>236</v>
      </c>
      <c r="C55" s="9">
        <v>14</v>
      </c>
      <c r="D55" s="10" t="s">
        <v>271</v>
      </c>
      <c r="E55" s="9" t="s">
        <v>178</v>
      </c>
      <c r="F55" s="9" t="s">
        <v>179</v>
      </c>
      <c r="G55" s="9"/>
      <c r="H55" s="9" t="s">
        <v>272</v>
      </c>
      <c r="I55" s="9" t="s">
        <v>74</v>
      </c>
      <c r="J55" s="11">
        <v>35</v>
      </c>
      <c r="K55" s="9" t="s">
        <v>45</v>
      </c>
      <c r="L55" s="9"/>
      <c r="M55" s="12"/>
      <c r="N55" s="13" t="s">
        <v>61</v>
      </c>
      <c r="O55" s="14" t="s">
        <v>273</v>
      </c>
      <c r="P55" s="15"/>
    </row>
    <row r="56" spans="1:16" ht="17">
      <c r="A56" s="9">
        <v>103</v>
      </c>
      <c r="B56" s="9" t="s">
        <v>236</v>
      </c>
      <c r="C56" s="9">
        <v>15</v>
      </c>
      <c r="D56" s="10" t="s">
        <v>728</v>
      </c>
      <c r="E56" s="9" t="s">
        <v>100</v>
      </c>
      <c r="F56" s="9" t="s">
        <v>100</v>
      </c>
      <c r="G56" s="9"/>
      <c r="H56" s="9" t="s">
        <v>274</v>
      </c>
      <c r="I56" s="9" t="s">
        <v>188</v>
      </c>
      <c r="J56" s="11">
        <v>9</v>
      </c>
      <c r="K56" s="9" t="s">
        <v>45</v>
      </c>
      <c r="L56" s="9"/>
      <c r="M56" s="12"/>
      <c r="N56" s="13" t="s">
        <v>61</v>
      </c>
      <c r="O56" s="10"/>
      <c r="P56" s="15"/>
    </row>
    <row r="57" spans="1:16" ht="17">
      <c r="A57" s="9">
        <v>104</v>
      </c>
      <c r="B57" s="9" t="s">
        <v>236</v>
      </c>
      <c r="C57" s="9">
        <v>16</v>
      </c>
      <c r="D57" s="10" t="s">
        <v>729</v>
      </c>
      <c r="E57" s="9" t="s">
        <v>100</v>
      </c>
      <c r="F57" s="9" t="s">
        <v>100</v>
      </c>
      <c r="G57" s="9"/>
      <c r="H57" s="9" t="s">
        <v>275</v>
      </c>
      <c r="I57" s="9" t="s">
        <v>164</v>
      </c>
      <c r="J57" s="11">
        <v>2</v>
      </c>
      <c r="K57" s="9" t="s">
        <v>45</v>
      </c>
      <c r="L57" s="9"/>
      <c r="M57" s="12"/>
      <c r="N57" s="13" t="s">
        <v>61</v>
      </c>
      <c r="O57" s="10"/>
      <c r="P57" s="15"/>
    </row>
    <row r="58" spans="1:16" ht="16">
      <c r="A58" s="9">
        <v>105</v>
      </c>
      <c r="B58" s="9" t="s">
        <v>236</v>
      </c>
      <c r="C58" s="9">
        <v>17</v>
      </c>
      <c r="D58" s="10" t="s">
        <v>276</v>
      </c>
      <c r="E58" s="20" t="s">
        <v>748</v>
      </c>
      <c r="F58" s="20" t="s">
        <v>747</v>
      </c>
      <c r="G58" s="9"/>
      <c r="H58" s="9" t="s">
        <v>277</v>
      </c>
      <c r="I58" s="9" t="s">
        <v>54</v>
      </c>
      <c r="J58" s="11">
        <v>50</v>
      </c>
      <c r="K58" s="9" t="s">
        <v>45</v>
      </c>
      <c r="L58" s="9"/>
      <c r="M58" s="12"/>
      <c r="N58" s="13" t="s">
        <v>46</v>
      </c>
      <c r="O58" s="10"/>
      <c r="P58" s="15"/>
    </row>
    <row r="59" spans="1:16">
      <c r="A59" s="9">
        <v>106</v>
      </c>
      <c r="B59" s="9" t="s">
        <v>236</v>
      </c>
      <c r="C59" s="9">
        <v>18</v>
      </c>
      <c r="D59" s="10" t="s">
        <v>278</v>
      </c>
      <c r="E59" s="9" t="s">
        <v>116</v>
      </c>
      <c r="F59" s="9" t="s">
        <v>279</v>
      </c>
      <c r="G59" s="9"/>
      <c r="H59" s="9" t="s">
        <v>280</v>
      </c>
      <c r="I59" s="9" t="s">
        <v>281</v>
      </c>
      <c r="J59" s="11">
        <f>28+2+1</f>
        <v>31</v>
      </c>
      <c r="K59" s="9" t="s">
        <v>45</v>
      </c>
      <c r="L59" s="9"/>
      <c r="M59" s="12"/>
      <c r="N59" s="13" t="s">
        <v>61</v>
      </c>
      <c r="O59" s="10"/>
      <c r="P59" s="15"/>
    </row>
    <row r="60" spans="1:16">
      <c r="A60" s="9">
        <v>107</v>
      </c>
      <c r="B60" s="9" t="s">
        <v>236</v>
      </c>
      <c r="C60" s="9">
        <v>19</v>
      </c>
      <c r="D60" s="10" t="s">
        <v>282</v>
      </c>
      <c r="E60" s="9" t="s">
        <v>116</v>
      </c>
      <c r="F60" s="9" t="s">
        <v>279</v>
      </c>
      <c r="G60" s="9"/>
      <c r="H60" s="9" t="s">
        <v>283</v>
      </c>
      <c r="I60" s="9" t="s">
        <v>84</v>
      </c>
      <c r="J60" s="11">
        <v>20</v>
      </c>
      <c r="K60" s="9" t="s">
        <v>45</v>
      </c>
      <c r="L60" s="9"/>
      <c r="M60" s="12"/>
      <c r="N60" s="13" t="s">
        <v>61</v>
      </c>
      <c r="O60" s="10"/>
      <c r="P60" s="15"/>
    </row>
    <row r="61" spans="1:16">
      <c r="A61" s="9">
        <v>108</v>
      </c>
      <c r="B61" s="9" t="s">
        <v>236</v>
      </c>
      <c r="C61" s="9">
        <v>20</v>
      </c>
      <c r="D61" s="10" t="s">
        <v>284</v>
      </c>
      <c r="E61" s="9" t="s">
        <v>116</v>
      </c>
      <c r="F61" s="9" t="s">
        <v>279</v>
      </c>
      <c r="G61" s="9"/>
      <c r="H61" s="9" t="s">
        <v>285</v>
      </c>
      <c r="I61" s="9" t="s">
        <v>286</v>
      </c>
      <c r="J61" s="11">
        <f>10+10+1</f>
        <v>21</v>
      </c>
      <c r="K61" s="9" t="s">
        <v>45</v>
      </c>
      <c r="L61" s="9"/>
      <c r="M61" s="12"/>
      <c r="N61" s="13" t="s">
        <v>61</v>
      </c>
      <c r="O61" s="10"/>
      <c r="P61" s="15"/>
    </row>
    <row r="62" spans="1:16">
      <c r="A62" s="9">
        <v>109</v>
      </c>
      <c r="B62" s="9" t="s">
        <v>236</v>
      </c>
      <c r="C62" s="9">
        <v>21</v>
      </c>
      <c r="D62" s="10" t="s">
        <v>287</v>
      </c>
      <c r="E62" s="9" t="s">
        <v>116</v>
      </c>
      <c r="F62" s="9" t="s">
        <v>279</v>
      </c>
      <c r="G62" s="9"/>
      <c r="H62" s="9" t="s">
        <v>288</v>
      </c>
      <c r="I62" s="9" t="s">
        <v>289</v>
      </c>
      <c r="J62" s="11">
        <f>1+19+21</f>
        <v>41</v>
      </c>
      <c r="K62" s="9" t="s">
        <v>45</v>
      </c>
      <c r="L62" s="9"/>
      <c r="M62" s="12"/>
      <c r="N62" s="13" t="s">
        <v>61</v>
      </c>
      <c r="O62" s="10"/>
      <c r="P62" s="15"/>
    </row>
    <row r="63" spans="1:16">
      <c r="A63" s="9">
        <v>110</v>
      </c>
      <c r="B63" s="9" t="s">
        <v>290</v>
      </c>
      <c r="C63" s="9">
        <v>1</v>
      </c>
      <c r="D63" s="10" t="s">
        <v>291</v>
      </c>
      <c r="E63" s="9" t="s">
        <v>116</v>
      </c>
      <c r="F63" s="9" t="s">
        <v>279</v>
      </c>
      <c r="G63" s="9"/>
      <c r="H63" s="9" t="s">
        <v>292</v>
      </c>
      <c r="I63" s="9" t="s">
        <v>68</v>
      </c>
      <c r="J63" s="11">
        <v>28</v>
      </c>
      <c r="K63" s="9" t="s">
        <v>45</v>
      </c>
      <c r="L63" s="9"/>
      <c r="M63" s="12"/>
      <c r="N63" s="13" t="s">
        <v>61</v>
      </c>
      <c r="O63" s="14" t="s">
        <v>157</v>
      </c>
      <c r="P63" s="15"/>
    </row>
    <row r="64" spans="1:16">
      <c r="A64" s="9">
        <v>111</v>
      </c>
      <c r="B64" s="9" t="s">
        <v>290</v>
      </c>
      <c r="C64" s="9">
        <v>2</v>
      </c>
      <c r="D64" s="10" t="s">
        <v>293</v>
      </c>
      <c r="E64" s="9" t="s">
        <v>116</v>
      </c>
      <c r="F64" s="9" t="s">
        <v>279</v>
      </c>
      <c r="G64" s="9"/>
      <c r="H64" s="9" t="s">
        <v>294</v>
      </c>
      <c r="I64" s="9" t="s">
        <v>295</v>
      </c>
      <c r="J64" s="11">
        <v>76</v>
      </c>
      <c r="K64" s="9" t="s">
        <v>45</v>
      </c>
      <c r="L64" s="9"/>
      <c r="M64" s="12"/>
      <c r="N64" s="13" t="s">
        <v>61</v>
      </c>
      <c r="O64" s="10"/>
      <c r="P64" s="15"/>
    </row>
    <row r="65" spans="1:16">
      <c r="A65" s="9">
        <v>112</v>
      </c>
      <c r="B65" s="9" t="s">
        <v>290</v>
      </c>
      <c r="C65" s="9">
        <v>3</v>
      </c>
      <c r="D65" s="10" t="s">
        <v>296</v>
      </c>
      <c r="E65" s="9" t="s">
        <v>116</v>
      </c>
      <c r="F65" s="9" t="s">
        <v>279</v>
      </c>
      <c r="G65" s="9"/>
      <c r="H65" s="9" t="s">
        <v>297</v>
      </c>
      <c r="I65" s="9" t="s">
        <v>298</v>
      </c>
      <c r="J65" s="11">
        <f>20+18+2</f>
        <v>40</v>
      </c>
      <c r="K65" s="9" t="s">
        <v>45</v>
      </c>
      <c r="L65" s="9"/>
      <c r="M65" s="12"/>
      <c r="N65" s="13" t="s">
        <v>61</v>
      </c>
      <c r="O65" s="10"/>
      <c r="P65" s="15"/>
    </row>
    <row r="66" spans="1:16">
      <c r="A66" s="9">
        <v>113</v>
      </c>
      <c r="B66" s="9" t="s">
        <v>290</v>
      </c>
      <c r="C66" s="9">
        <v>4</v>
      </c>
      <c r="D66" s="10" t="s">
        <v>299</v>
      </c>
      <c r="E66" s="9" t="s">
        <v>116</v>
      </c>
      <c r="F66" s="9" t="s">
        <v>279</v>
      </c>
      <c r="G66" s="9"/>
      <c r="H66" s="9" t="s">
        <v>300</v>
      </c>
      <c r="I66" s="9" t="s">
        <v>301</v>
      </c>
      <c r="J66" s="11">
        <v>24</v>
      </c>
      <c r="K66" s="9" t="s">
        <v>45</v>
      </c>
      <c r="L66" s="9"/>
      <c r="M66" s="12"/>
      <c r="N66" s="13" t="s">
        <v>61</v>
      </c>
      <c r="O66" s="10"/>
      <c r="P66" s="15"/>
    </row>
    <row r="67" spans="1:16">
      <c r="A67" s="9">
        <v>114</v>
      </c>
      <c r="B67" s="9" t="s">
        <v>290</v>
      </c>
      <c r="C67" s="9">
        <v>5</v>
      </c>
      <c r="D67" s="10" t="s">
        <v>302</v>
      </c>
      <c r="E67" s="9" t="s">
        <v>116</v>
      </c>
      <c r="F67" s="9" t="s">
        <v>303</v>
      </c>
      <c r="G67" s="9"/>
      <c r="H67" s="9" t="s">
        <v>304</v>
      </c>
      <c r="I67" s="9" t="s">
        <v>81</v>
      </c>
      <c r="J67" s="11">
        <v>21</v>
      </c>
      <c r="K67" s="9" t="s">
        <v>45</v>
      </c>
      <c r="L67" s="9"/>
      <c r="M67" s="12"/>
      <c r="N67" s="13" t="s">
        <v>61</v>
      </c>
      <c r="O67" s="10"/>
      <c r="P67" s="15"/>
    </row>
    <row r="68" spans="1:16">
      <c r="A68" s="9">
        <v>115</v>
      </c>
      <c r="B68" s="9" t="s">
        <v>290</v>
      </c>
      <c r="C68" s="9">
        <v>6</v>
      </c>
      <c r="D68" s="10" t="s">
        <v>305</v>
      </c>
      <c r="E68" s="9" t="s">
        <v>116</v>
      </c>
      <c r="F68" s="9" t="s">
        <v>279</v>
      </c>
      <c r="G68" s="9"/>
      <c r="H68" s="9" t="s">
        <v>306</v>
      </c>
      <c r="I68" s="9" t="s">
        <v>307</v>
      </c>
      <c r="J68" s="11">
        <f>18+2</f>
        <v>20</v>
      </c>
      <c r="K68" s="9" t="s">
        <v>45</v>
      </c>
      <c r="L68" s="9"/>
      <c r="M68" s="12"/>
      <c r="N68" s="13" t="s">
        <v>61</v>
      </c>
      <c r="O68" s="10"/>
      <c r="P68" s="15"/>
    </row>
    <row r="69" spans="1:16">
      <c r="A69" s="9">
        <v>116</v>
      </c>
      <c r="B69" s="9" t="s">
        <v>290</v>
      </c>
      <c r="C69" s="9">
        <v>7</v>
      </c>
      <c r="D69" s="10" t="s">
        <v>308</v>
      </c>
      <c r="E69" s="9" t="s">
        <v>116</v>
      </c>
      <c r="F69" s="9" t="s">
        <v>279</v>
      </c>
      <c r="G69" s="9"/>
      <c r="H69" s="9" t="s">
        <v>309</v>
      </c>
      <c r="I69" s="9" t="s">
        <v>310</v>
      </c>
      <c r="J69" s="11">
        <f>17+3</f>
        <v>20</v>
      </c>
      <c r="K69" s="9" t="s">
        <v>45</v>
      </c>
      <c r="L69" s="9"/>
      <c r="M69" s="12"/>
      <c r="N69" s="13" t="s">
        <v>61</v>
      </c>
      <c r="O69" s="10"/>
      <c r="P69" s="15"/>
    </row>
    <row r="70" spans="1:16">
      <c r="A70" s="9">
        <v>117</v>
      </c>
      <c r="B70" s="9" t="s">
        <v>290</v>
      </c>
      <c r="C70" s="9">
        <v>8</v>
      </c>
      <c r="D70" s="10" t="s">
        <v>311</v>
      </c>
      <c r="E70" s="9" t="s">
        <v>312</v>
      </c>
      <c r="F70" s="9" t="s">
        <v>312</v>
      </c>
      <c r="G70" s="9"/>
      <c r="H70" s="9" t="s">
        <v>313</v>
      </c>
      <c r="I70" s="9" t="s">
        <v>314</v>
      </c>
      <c r="J70" s="11">
        <v>11</v>
      </c>
      <c r="K70" s="9" t="s">
        <v>45</v>
      </c>
      <c r="L70" s="9"/>
      <c r="M70" s="12"/>
      <c r="N70" s="13" t="s">
        <v>61</v>
      </c>
      <c r="O70" s="14" t="s">
        <v>315</v>
      </c>
      <c r="P70" s="15"/>
    </row>
    <row r="71" spans="1:16">
      <c r="A71" s="9">
        <v>118</v>
      </c>
      <c r="B71" s="9" t="s">
        <v>290</v>
      </c>
      <c r="C71" s="9">
        <v>9</v>
      </c>
      <c r="D71" s="10" t="s">
        <v>316</v>
      </c>
      <c r="E71" s="9" t="s">
        <v>312</v>
      </c>
      <c r="F71" s="9" t="s">
        <v>312</v>
      </c>
      <c r="G71" s="9"/>
      <c r="H71" s="9" t="s">
        <v>317</v>
      </c>
      <c r="I71" s="9" t="s">
        <v>160</v>
      </c>
      <c r="J71" s="11">
        <v>1</v>
      </c>
      <c r="K71" s="9" t="s">
        <v>45</v>
      </c>
      <c r="L71" s="9"/>
      <c r="M71" s="12"/>
      <c r="N71" s="13" t="s">
        <v>61</v>
      </c>
      <c r="O71" s="10"/>
      <c r="P71" s="15"/>
    </row>
    <row r="72" spans="1:16">
      <c r="A72" s="9">
        <v>119</v>
      </c>
      <c r="B72" s="9" t="s">
        <v>290</v>
      </c>
      <c r="C72" s="9">
        <v>10</v>
      </c>
      <c r="D72" s="10" t="s">
        <v>318</v>
      </c>
      <c r="E72" s="9" t="s">
        <v>127</v>
      </c>
      <c r="F72" s="9" t="s">
        <v>255</v>
      </c>
      <c r="G72" s="9"/>
      <c r="H72" s="9" t="s">
        <v>319</v>
      </c>
      <c r="I72" s="9" t="s">
        <v>160</v>
      </c>
      <c r="J72" s="11">
        <v>1</v>
      </c>
      <c r="K72" s="9" t="s">
        <v>45</v>
      </c>
      <c r="L72" s="9"/>
      <c r="M72" s="12"/>
      <c r="N72" s="13" t="s">
        <v>61</v>
      </c>
      <c r="O72" s="10"/>
      <c r="P72" s="15"/>
    </row>
    <row r="73" spans="1:16">
      <c r="A73" s="9">
        <v>120</v>
      </c>
      <c r="B73" s="9" t="s">
        <v>290</v>
      </c>
      <c r="C73" s="9">
        <v>11</v>
      </c>
      <c r="D73" s="10" t="s">
        <v>320</v>
      </c>
      <c r="E73" s="9" t="s">
        <v>321</v>
      </c>
      <c r="F73" s="9" t="s">
        <v>322</v>
      </c>
      <c r="G73" s="9" t="s">
        <v>183</v>
      </c>
      <c r="H73" s="9" t="s">
        <v>323</v>
      </c>
      <c r="I73" s="9" t="s">
        <v>253</v>
      </c>
      <c r="J73" s="11">
        <v>39</v>
      </c>
      <c r="K73" s="9" t="s">
        <v>45</v>
      </c>
      <c r="L73" s="9"/>
      <c r="M73" s="12"/>
      <c r="N73" s="13" t="s">
        <v>61</v>
      </c>
      <c r="O73" s="10"/>
      <c r="P73" s="15"/>
    </row>
    <row r="74" spans="1:16">
      <c r="A74" s="9">
        <v>121</v>
      </c>
      <c r="B74" s="9" t="s">
        <v>290</v>
      </c>
      <c r="C74" s="9">
        <v>12</v>
      </c>
      <c r="D74" s="10" t="s">
        <v>324</v>
      </c>
      <c r="E74" s="9" t="s">
        <v>321</v>
      </c>
      <c r="F74" s="9" t="s">
        <v>325</v>
      </c>
      <c r="G74" s="9" t="s">
        <v>183</v>
      </c>
      <c r="H74" s="9" t="s">
        <v>326</v>
      </c>
      <c r="I74" s="9" t="s">
        <v>327</v>
      </c>
      <c r="J74" s="11">
        <f>10+7</f>
        <v>17</v>
      </c>
      <c r="K74" s="9" t="s">
        <v>45</v>
      </c>
      <c r="L74" s="9"/>
      <c r="M74" s="12"/>
      <c r="N74" s="13" t="s">
        <v>61</v>
      </c>
      <c r="O74" s="10"/>
      <c r="P74" s="15"/>
    </row>
    <row r="75" spans="1:16">
      <c r="A75" s="9">
        <v>122</v>
      </c>
      <c r="B75" s="9" t="s">
        <v>290</v>
      </c>
      <c r="C75" s="9">
        <v>13</v>
      </c>
      <c r="D75" s="10" t="s">
        <v>328</v>
      </c>
      <c r="E75" s="9" t="s">
        <v>321</v>
      </c>
      <c r="F75" s="9" t="s">
        <v>325</v>
      </c>
      <c r="G75" s="9" t="s">
        <v>183</v>
      </c>
      <c r="H75" s="9" t="s">
        <v>329</v>
      </c>
      <c r="I75" s="9" t="s">
        <v>83</v>
      </c>
      <c r="J75" s="11">
        <v>3</v>
      </c>
      <c r="K75" s="9" t="s">
        <v>45</v>
      </c>
      <c r="L75" s="9"/>
      <c r="M75" s="12"/>
      <c r="N75" s="13" t="s">
        <v>61</v>
      </c>
      <c r="O75" s="10"/>
      <c r="P75" s="15"/>
    </row>
    <row r="76" spans="1:16">
      <c r="A76" s="9">
        <v>123</v>
      </c>
      <c r="B76" s="9" t="s">
        <v>290</v>
      </c>
      <c r="C76" s="9">
        <v>14</v>
      </c>
      <c r="D76" s="10" t="s">
        <v>330</v>
      </c>
      <c r="E76" s="9" t="s">
        <v>321</v>
      </c>
      <c r="F76" s="9" t="s">
        <v>322</v>
      </c>
      <c r="G76" s="9" t="s">
        <v>183</v>
      </c>
      <c r="H76" s="9" t="s">
        <v>331</v>
      </c>
      <c r="I76" s="9" t="s">
        <v>332</v>
      </c>
      <c r="J76" s="11">
        <v>27</v>
      </c>
      <c r="K76" s="9" t="s">
        <v>45</v>
      </c>
      <c r="L76" s="9"/>
      <c r="M76" s="12"/>
      <c r="N76" s="13" t="s">
        <v>61</v>
      </c>
      <c r="O76" s="14" t="s">
        <v>333</v>
      </c>
      <c r="P76" s="15"/>
    </row>
    <row r="77" spans="1:16">
      <c r="A77" s="9">
        <v>125</v>
      </c>
      <c r="B77" s="9" t="s">
        <v>290</v>
      </c>
      <c r="C77" s="9">
        <v>16</v>
      </c>
      <c r="D77" s="10" t="s">
        <v>336</v>
      </c>
      <c r="E77" s="9" t="s">
        <v>321</v>
      </c>
      <c r="F77" s="9" t="s">
        <v>322</v>
      </c>
      <c r="G77" s="9" t="s">
        <v>183</v>
      </c>
      <c r="H77" s="9" t="s">
        <v>337</v>
      </c>
      <c r="I77" s="9" t="s">
        <v>332</v>
      </c>
      <c r="J77" s="11">
        <v>27</v>
      </c>
      <c r="K77" s="9" t="s">
        <v>45</v>
      </c>
      <c r="L77" s="9"/>
      <c r="M77" s="12"/>
      <c r="N77" s="13" t="s">
        <v>61</v>
      </c>
      <c r="O77" s="14" t="s">
        <v>197</v>
      </c>
      <c r="P77" s="15"/>
    </row>
    <row r="78" spans="1:16">
      <c r="A78" s="9">
        <v>126</v>
      </c>
      <c r="B78" s="9" t="s">
        <v>290</v>
      </c>
      <c r="C78" s="9">
        <v>17</v>
      </c>
      <c r="D78" s="10" t="s">
        <v>338</v>
      </c>
      <c r="E78" s="9" t="s">
        <v>321</v>
      </c>
      <c r="F78" s="9" t="s">
        <v>322</v>
      </c>
      <c r="G78" s="9" t="s">
        <v>183</v>
      </c>
      <c r="H78" s="9" t="s">
        <v>339</v>
      </c>
      <c r="I78" s="9" t="s">
        <v>340</v>
      </c>
      <c r="J78" s="11">
        <f>24+81</f>
        <v>105</v>
      </c>
      <c r="K78" s="9" t="s">
        <v>45</v>
      </c>
      <c r="L78" s="9"/>
      <c r="M78" s="12"/>
      <c r="N78" s="13" t="s">
        <v>61</v>
      </c>
      <c r="O78" s="10"/>
      <c r="P78" s="15"/>
    </row>
    <row r="79" spans="1:16">
      <c r="A79" s="9">
        <v>127</v>
      </c>
      <c r="B79" s="9" t="s">
        <v>290</v>
      </c>
      <c r="C79" s="9">
        <v>18</v>
      </c>
      <c r="D79" s="10" t="s">
        <v>341</v>
      </c>
      <c r="E79" s="9" t="s">
        <v>178</v>
      </c>
      <c r="F79" s="9" t="s">
        <v>179</v>
      </c>
      <c r="G79" s="9"/>
      <c r="H79" s="9" t="s">
        <v>342</v>
      </c>
      <c r="I79" s="9" t="s">
        <v>257</v>
      </c>
      <c r="J79" s="11">
        <v>15</v>
      </c>
      <c r="K79" s="9" t="s">
        <v>45</v>
      </c>
      <c r="L79" s="9"/>
      <c r="M79" s="12"/>
      <c r="N79" s="13" t="s">
        <v>61</v>
      </c>
      <c r="O79" s="14" t="s">
        <v>114</v>
      </c>
      <c r="P79" s="15"/>
    </row>
    <row r="80" spans="1:16">
      <c r="A80" s="9">
        <v>128</v>
      </c>
      <c r="B80" s="9" t="s">
        <v>290</v>
      </c>
      <c r="C80" s="9">
        <v>19</v>
      </c>
      <c r="D80" s="10" t="s">
        <v>343</v>
      </c>
      <c r="E80" s="9" t="s">
        <v>344</v>
      </c>
      <c r="F80" s="9" t="s">
        <v>345</v>
      </c>
      <c r="G80" s="9"/>
      <c r="H80" s="9" t="s">
        <v>346</v>
      </c>
      <c r="I80" s="9" t="s">
        <v>347</v>
      </c>
      <c r="J80" s="11">
        <v>18</v>
      </c>
      <c r="K80" s="9" t="s">
        <v>45</v>
      </c>
      <c r="L80" s="9"/>
      <c r="M80" s="12"/>
      <c r="N80" s="13" t="s">
        <v>61</v>
      </c>
      <c r="O80" s="10"/>
      <c r="P80" s="15"/>
    </row>
    <row r="81" spans="1:16">
      <c r="A81" s="9">
        <v>129</v>
      </c>
      <c r="B81" s="9" t="s">
        <v>290</v>
      </c>
      <c r="C81" s="9">
        <v>20</v>
      </c>
      <c r="D81" s="10" t="s">
        <v>348</v>
      </c>
      <c r="E81" s="9" t="s">
        <v>344</v>
      </c>
      <c r="F81" s="9" t="s">
        <v>345</v>
      </c>
      <c r="G81" s="9"/>
      <c r="H81" s="9" t="s">
        <v>349</v>
      </c>
      <c r="I81" s="9" t="s">
        <v>164</v>
      </c>
      <c r="J81" s="11">
        <v>2</v>
      </c>
      <c r="K81" s="9" t="s">
        <v>45</v>
      </c>
      <c r="L81" s="9"/>
      <c r="M81" s="12"/>
      <c r="N81" s="13" t="s">
        <v>61</v>
      </c>
      <c r="O81" s="10"/>
      <c r="P81" s="15"/>
    </row>
    <row r="82" spans="1:16" ht="16">
      <c r="A82" s="9">
        <v>130</v>
      </c>
      <c r="B82" s="9" t="s">
        <v>290</v>
      </c>
      <c r="C82" s="9">
        <v>21</v>
      </c>
      <c r="D82" s="10" t="s">
        <v>752</v>
      </c>
      <c r="E82" s="9" t="s">
        <v>351</v>
      </c>
      <c r="F82" s="9" t="s">
        <v>179</v>
      </c>
      <c r="G82" s="20" t="s">
        <v>751</v>
      </c>
      <c r="H82" s="9" t="s">
        <v>352</v>
      </c>
      <c r="I82" s="9" t="s">
        <v>160</v>
      </c>
      <c r="J82" s="11">
        <v>1</v>
      </c>
      <c r="K82" s="9" t="s">
        <v>45</v>
      </c>
      <c r="L82" s="9"/>
      <c r="M82" s="12"/>
      <c r="N82" s="13" t="s">
        <v>61</v>
      </c>
      <c r="O82" s="14" t="s">
        <v>353</v>
      </c>
      <c r="P82" s="15"/>
    </row>
    <row r="83" spans="1:16">
      <c r="A83" s="9">
        <v>131</v>
      </c>
      <c r="B83" s="9" t="s">
        <v>354</v>
      </c>
      <c r="C83" s="9">
        <v>1</v>
      </c>
      <c r="D83" s="10" t="s">
        <v>355</v>
      </c>
      <c r="E83" s="9" t="s">
        <v>344</v>
      </c>
      <c r="F83" s="9" t="s">
        <v>345</v>
      </c>
      <c r="G83" s="9"/>
      <c r="H83" s="9" t="s">
        <v>356</v>
      </c>
      <c r="I83" s="9" t="s">
        <v>357</v>
      </c>
      <c r="J83" s="11">
        <v>63</v>
      </c>
      <c r="K83" s="9" t="s">
        <v>45</v>
      </c>
      <c r="L83" s="9"/>
      <c r="M83" s="12"/>
      <c r="N83" s="13" t="s">
        <v>61</v>
      </c>
      <c r="O83" s="14" t="s">
        <v>157</v>
      </c>
      <c r="P83" s="15"/>
    </row>
    <row r="84" spans="1:16">
      <c r="A84" s="9">
        <v>132</v>
      </c>
      <c r="B84" s="9" t="s">
        <v>354</v>
      </c>
      <c r="C84" s="9">
        <v>2</v>
      </c>
      <c r="D84" s="10" t="s">
        <v>358</v>
      </c>
      <c r="E84" s="9" t="s">
        <v>344</v>
      </c>
      <c r="F84" s="9" t="s">
        <v>345</v>
      </c>
      <c r="G84" s="9"/>
      <c r="H84" s="9" t="s">
        <v>359</v>
      </c>
      <c r="I84" s="9" t="s">
        <v>360</v>
      </c>
      <c r="J84" s="11">
        <v>17</v>
      </c>
      <c r="K84" s="9" t="s">
        <v>45</v>
      </c>
      <c r="L84" s="9"/>
      <c r="M84" s="12"/>
      <c r="N84" s="13" t="s">
        <v>61</v>
      </c>
      <c r="O84" s="10"/>
      <c r="P84" s="15"/>
    </row>
    <row r="85" spans="1:16">
      <c r="A85" s="9">
        <v>133</v>
      </c>
      <c r="B85" s="9" t="s">
        <v>354</v>
      </c>
      <c r="C85" s="9">
        <v>3</v>
      </c>
      <c r="D85" s="10" t="s">
        <v>361</v>
      </c>
      <c r="E85" s="9" t="s">
        <v>362</v>
      </c>
      <c r="F85" s="9" t="s">
        <v>363</v>
      </c>
      <c r="G85" s="9"/>
      <c r="H85" s="9" t="s">
        <v>364</v>
      </c>
      <c r="I85" s="9" t="s">
        <v>72</v>
      </c>
      <c r="J85" s="11">
        <v>32</v>
      </c>
      <c r="K85" s="9" t="s">
        <v>45</v>
      </c>
      <c r="L85" s="9"/>
      <c r="M85" s="12"/>
      <c r="N85" s="13" t="s">
        <v>61</v>
      </c>
      <c r="O85" s="10"/>
      <c r="P85" s="15"/>
    </row>
    <row r="86" spans="1:16">
      <c r="A86" s="9">
        <v>134</v>
      </c>
      <c r="B86" s="9" t="s">
        <v>354</v>
      </c>
      <c r="C86" s="9">
        <v>4</v>
      </c>
      <c r="D86" s="10" t="s">
        <v>365</v>
      </c>
      <c r="E86" s="9" t="s">
        <v>362</v>
      </c>
      <c r="F86" s="9" t="s">
        <v>363</v>
      </c>
      <c r="G86" s="9"/>
      <c r="H86" s="9" t="s">
        <v>366</v>
      </c>
      <c r="I86" s="9" t="s">
        <v>367</v>
      </c>
      <c r="J86" s="11">
        <f>49+1</f>
        <v>50</v>
      </c>
      <c r="K86" s="9" t="s">
        <v>45</v>
      </c>
      <c r="L86" s="9"/>
      <c r="M86" s="12"/>
      <c r="N86" s="13" t="s">
        <v>61</v>
      </c>
      <c r="O86" s="10"/>
      <c r="P86" s="15"/>
    </row>
    <row r="87" spans="1:16">
      <c r="A87" s="9">
        <v>135</v>
      </c>
      <c r="B87" s="9" t="s">
        <v>354</v>
      </c>
      <c r="C87" s="9">
        <v>5</v>
      </c>
      <c r="D87" s="10" t="s">
        <v>368</v>
      </c>
      <c r="E87" s="9" t="s">
        <v>351</v>
      </c>
      <c r="F87" s="9" t="s">
        <v>369</v>
      </c>
      <c r="G87" s="9"/>
      <c r="H87" s="9" t="s">
        <v>370</v>
      </c>
      <c r="I87" s="9" t="s">
        <v>160</v>
      </c>
      <c r="J87" s="11">
        <v>1</v>
      </c>
      <c r="K87" s="9" t="s">
        <v>45</v>
      </c>
      <c r="L87" s="9"/>
      <c r="M87" s="12"/>
      <c r="N87" s="13" t="s">
        <v>61</v>
      </c>
      <c r="O87" s="10"/>
      <c r="P87" s="15"/>
    </row>
    <row r="88" spans="1:16">
      <c r="A88" s="9">
        <v>136</v>
      </c>
      <c r="B88" s="9" t="s">
        <v>354</v>
      </c>
      <c r="C88" s="9">
        <v>6</v>
      </c>
      <c r="D88" s="10" t="s">
        <v>371</v>
      </c>
      <c r="E88" s="9" t="s">
        <v>351</v>
      </c>
      <c r="F88" s="9" t="s">
        <v>369</v>
      </c>
      <c r="G88" s="9"/>
      <c r="H88" s="9" t="s">
        <v>372</v>
      </c>
      <c r="I88" s="9" t="s">
        <v>109</v>
      </c>
      <c r="J88" s="11">
        <v>37</v>
      </c>
      <c r="K88" s="9" t="s">
        <v>45</v>
      </c>
      <c r="L88" s="9"/>
      <c r="M88" s="12"/>
      <c r="N88" s="13" t="s">
        <v>61</v>
      </c>
      <c r="O88" s="14" t="s">
        <v>373</v>
      </c>
      <c r="P88" s="15"/>
    </row>
    <row r="89" spans="1:16">
      <c r="A89" s="9">
        <v>137</v>
      </c>
      <c r="B89" s="9" t="s">
        <v>354</v>
      </c>
      <c r="C89" s="9">
        <v>7</v>
      </c>
      <c r="D89" s="10" t="s">
        <v>374</v>
      </c>
      <c r="E89" s="9" t="s">
        <v>116</v>
      </c>
      <c r="F89" s="9" t="s">
        <v>375</v>
      </c>
      <c r="G89" s="9"/>
      <c r="H89" s="9" t="s">
        <v>376</v>
      </c>
      <c r="I89" s="9" t="s">
        <v>377</v>
      </c>
      <c r="J89" s="11">
        <v>10</v>
      </c>
      <c r="K89" s="9" t="s">
        <v>45</v>
      </c>
      <c r="L89" s="9"/>
      <c r="M89" s="12"/>
      <c r="N89" s="13" t="s">
        <v>61</v>
      </c>
      <c r="O89" s="14" t="s">
        <v>378</v>
      </c>
      <c r="P89" s="15"/>
    </row>
    <row r="90" spans="1:16">
      <c r="A90" s="9">
        <v>138</v>
      </c>
      <c r="B90" s="9" t="s">
        <v>354</v>
      </c>
      <c r="C90" s="9">
        <v>8</v>
      </c>
      <c r="D90" s="10" t="s">
        <v>379</v>
      </c>
      <c r="E90" s="9" t="s">
        <v>380</v>
      </c>
      <c r="F90" s="9" t="s">
        <v>380</v>
      </c>
      <c r="G90" s="9"/>
      <c r="H90" s="9" t="s">
        <v>381</v>
      </c>
      <c r="I90" s="9" t="s">
        <v>172</v>
      </c>
      <c r="J90" s="11">
        <v>6</v>
      </c>
      <c r="K90" s="9" t="s">
        <v>45</v>
      </c>
      <c r="L90" s="9"/>
      <c r="M90" s="12"/>
      <c r="N90" s="13" t="s">
        <v>61</v>
      </c>
      <c r="O90" s="10"/>
      <c r="P90" s="15"/>
    </row>
    <row r="91" spans="1:16">
      <c r="A91" s="9">
        <v>139</v>
      </c>
      <c r="B91" s="9" t="s">
        <v>354</v>
      </c>
      <c r="C91" s="9">
        <v>9</v>
      </c>
      <c r="D91" s="10" t="s">
        <v>382</v>
      </c>
      <c r="E91" s="9" t="s">
        <v>380</v>
      </c>
      <c r="F91" s="9" t="s">
        <v>380</v>
      </c>
      <c r="G91" s="9"/>
      <c r="H91" s="9" t="s">
        <v>383</v>
      </c>
      <c r="I91" s="9" t="s">
        <v>160</v>
      </c>
      <c r="J91" s="11">
        <v>1</v>
      </c>
      <c r="K91" s="9" t="s">
        <v>45</v>
      </c>
      <c r="L91" s="9"/>
      <c r="M91" s="12"/>
      <c r="N91" s="13" t="s">
        <v>61</v>
      </c>
      <c r="O91" s="10"/>
      <c r="P91" s="15"/>
    </row>
    <row r="92" spans="1:16" ht="28">
      <c r="A92" s="9">
        <v>148</v>
      </c>
      <c r="B92" s="9" t="s">
        <v>388</v>
      </c>
      <c r="C92" s="9">
        <v>1</v>
      </c>
      <c r="D92" s="10" t="s">
        <v>389</v>
      </c>
      <c r="E92" s="9" t="s">
        <v>390</v>
      </c>
      <c r="F92" s="9" t="s">
        <v>391</v>
      </c>
      <c r="G92" s="9"/>
      <c r="H92" s="9" t="s">
        <v>392</v>
      </c>
      <c r="I92" s="9" t="s">
        <v>393</v>
      </c>
      <c r="J92" s="11">
        <f>100+400</f>
        <v>500</v>
      </c>
      <c r="K92" s="9" t="s">
        <v>45</v>
      </c>
      <c r="L92" s="9"/>
      <c r="M92" s="12"/>
      <c r="N92" s="13" t="s">
        <v>61</v>
      </c>
      <c r="O92" s="14" t="s">
        <v>394</v>
      </c>
      <c r="P92" s="15"/>
    </row>
    <row r="93" spans="1:16">
      <c r="A93" s="9">
        <v>149</v>
      </c>
      <c r="B93" s="9" t="s">
        <v>388</v>
      </c>
      <c r="C93" s="9">
        <v>2</v>
      </c>
      <c r="D93" s="10" t="s">
        <v>395</v>
      </c>
      <c r="E93" s="9" t="s">
        <v>390</v>
      </c>
      <c r="F93" s="9" t="s">
        <v>391</v>
      </c>
      <c r="G93" s="9"/>
      <c r="H93" s="9" t="s">
        <v>396</v>
      </c>
      <c r="I93" s="9" t="s">
        <v>397</v>
      </c>
      <c r="J93" s="11">
        <v>600</v>
      </c>
      <c r="K93" s="9" t="s">
        <v>45</v>
      </c>
      <c r="L93" s="9"/>
      <c r="M93" s="12"/>
      <c r="N93" s="13" t="s">
        <v>61</v>
      </c>
      <c r="O93" s="10"/>
      <c r="P93" s="15"/>
    </row>
    <row r="94" spans="1:16">
      <c r="A94" s="9">
        <v>150</v>
      </c>
      <c r="B94" s="9" t="s">
        <v>388</v>
      </c>
      <c r="C94" s="9">
        <v>3</v>
      </c>
      <c r="D94" s="10" t="s">
        <v>398</v>
      </c>
      <c r="E94" s="9" t="s">
        <v>390</v>
      </c>
      <c r="F94" s="9" t="s">
        <v>391</v>
      </c>
      <c r="G94" s="9"/>
      <c r="H94" s="9" t="s">
        <v>399</v>
      </c>
      <c r="I94" s="9" t="s">
        <v>400</v>
      </c>
      <c r="J94" s="11">
        <f>200+94</f>
        <v>294</v>
      </c>
      <c r="K94" s="9" t="s">
        <v>45</v>
      </c>
      <c r="L94" s="9"/>
      <c r="M94" s="12"/>
      <c r="N94" s="13" t="s">
        <v>61</v>
      </c>
      <c r="O94" s="14" t="s">
        <v>401</v>
      </c>
      <c r="P94" s="15"/>
    </row>
    <row r="95" spans="1:16">
      <c r="A95" s="9">
        <v>151</v>
      </c>
      <c r="B95" s="9" t="s">
        <v>388</v>
      </c>
      <c r="C95" s="9">
        <v>4</v>
      </c>
      <c r="D95" s="10" t="s">
        <v>402</v>
      </c>
      <c r="E95" s="9" t="s">
        <v>390</v>
      </c>
      <c r="F95" s="9" t="s">
        <v>391</v>
      </c>
      <c r="G95" s="9"/>
      <c r="H95" s="9" t="s">
        <v>377</v>
      </c>
      <c r="I95" s="9" t="s">
        <v>403</v>
      </c>
      <c r="J95" s="11">
        <v>71</v>
      </c>
      <c r="K95" s="9" t="s">
        <v>45</v>
      </c>
      <c r="L95" s="9"/>
      <c r="M95" s="12"/>
      <c r="N95" s="13" t="s">
        <v>61</v>
      </c>
      <c r="O95" s="14" t="s">
        <v>404</v>
      </c>
      <c r="P95" s="15"/>
    </row>
    <row r="96" spans="1:16">
      <c r="A96" s="9">
        <v>152</v>
      </c>
      <c r="B96" s="9" t="s">
        <v>388</v>
      </c>
      <c r="C96" s="9">
        <v>5</v>
      </c>
      <c r="D96" s="10" t="s">
        <v>405</v>
      </c>
      <c r="E96" s="9" t="s">
        <v>390</v>
      </c>
      <c r="F96" s="9" t="s">
        <v>406</v>
      </c>
      <c r="G96" s="9"/>
      <c r="H96" s="9" t="s">
        <v>377</v>
      </c>
      <c r="I96" s="9" t="s">
        <v>407</v>
      </c>
      <c r="J96" s="11">
        <v>298</v>
      </c>
      <c r="K96" s="9" t="s">
        <v>45</v>
      </c>
      <c r="L96" s="9"/>
      <c r="M96" s="12"/>
      <c r="N96" s="13" t="s">
        <v>61</v>
      </c>
      <c r="O96" s="14" t="s">
        <v>408</v>
      </c>
      <c r="P96" s="15"/>
    </row>
    <row r="97" spans="1:16">
      <c r="A97" s="9">
        <v>153</v>
      </c>
      <c r="B97" s="9" t="s">
        <v>388</v>
      </c>
      <c r="C97" s="9">
        <v>6</v>
      </c>
      <c r="D97" s="10" t="s">
        <v>409</v>
      </c>
      <c r="E97" s="9" t="s">
        <v>390</v>
      </c>
      <c r="F97" s="9" t="s">
        <v>406</v>
      </c>
      <c r="G97" s="9"/>
      <c r="H97" s="9" t="s">
        <v>98</v>
      </c>
      <c r="I97" s="9" t="s">
        <v>410</v>
      </c>
      <c r="J97" s="11">
        <v>611</v>
      </c>
      <c r="K97" s="9" t="s">
        <v>45</v>
      </c>
      <c r="L97" s="9"/>
      <c r="M97" s="12"/>
      <c r="N97" s="13" t="s">
        <v>61</v>
      </c>
      <c r="O97" s="10"/>
      <c r="P97" s="15"/>
    </row>
    <row r="98" spans="1:16">
      <c r="A98" s="9">
        <v>154</v>
      </c>
      <c r="B98" s="9" t="s">
        <v>388</v>
      </c>
      <c r="C98" s="9">
        <v>7</v>
      </c>
      <c r="D98" s="10" t="s">
        <v>411</v>
      </c>
      <c r="E98" s="9" t="s">
        <v>390</v>
      </c>
      <c r="F98" s="9" t="s">
        <v>406</v>
      </c>
      <c r="G98" s="9"/>
      <c r="H98" s="9" t="s">
        <v>172</v>
      </c>
      <c r="I98" s="9" t="s">
        <v>412</v>
      </c>
      <c r="J98" s="11">
        <v>89</v>
      </c>
      <c r="K98" s="9" t="s">
        <v>45</v>
      </c>
      <c r="L98" s="9"/>
      <c r="M98" s="12"/>
      <c r="N98" s="13" t="s">
        <v>61</v>
      </c>
      <c r="O98" s="14" t="s">
        <v>197</v>
      </c>
      <c r="P98" s="15"/>
    </row>
    <row r="99" spans="1:16">
      <c r="A99" s="9">
        <v>155</v>
      </c>
      <c r="B99" s="9" t="s">
        <v>413</v>
      </c>
      <c r="C99" s="9">
        <v>1</v>
      </c>
      <c r="D99" s="10" t="s">
        <v>414</v>
      </c>
      <c r="E99" s="9" t="s">
        <v>116</v>
      </c>
      <c r="F99" s="9" t="s">
        <v>415</v>
      </c>
      <c r="G99" s="9"/>
      <c r="H99" s="9" t="s">
        <v>98</v>
      </c>
      <c r="I99" s="9" t="s">
        <v>416</v>
      </c>
      <c r="J99" s="11">
        <v>1603</v>
      </c>
      <c r="K99" s="9" t="s">
        <v>45</v>
      </c>
      <c r="L99" s="9"/>
      <c r="M99" s="12"/>
      <c r="N99" s="13" t="s">
        <v>61</v>
      </c>
      <c r="O99" s="14" t="s">
        <v>157</v>
      </c>
      <c r="P99" s="15"/>
    </row>
    <row r="100" spans="1:16">
      <c r="A100" s="9">
        <v>156</v>
      </c>
      <c r="B100" s="9" t="s">
        <v>413</v>
      </c>
      <c r="C100" s="9">
        <v>2</v>
      </c>
      <c r="D100" s="10" t="s">
        <v>417</v>
      </c>
      <c r="E100" s="9" t="s">
        <v>390</v>
      </c>
      <c r="F100" s="9" t="s">
        <v>391</v>
      </c>
      <c r="G100" s="9"/>
      <c r="H100" s="9" t="s">
        <v>164</v>
      </c>
      <c r="I100" s="9" t="s">
        <v>257</v>
      </c>
      <c r="J100" s="11">
        <v>15</v>
      </c>
      <c r="K100" s="9" t="s">
        <v>45</v>
      </c>
      <c r="L100" s="9"/>
      <c r="M100" s="12"/>
      <c r="N100" s="13" t="s">
        <v>61</v>
      </c>
      <c r="O100" s="14" t="s">
        <v>418</v>
      </c>
      <c r="P100" s="15"/>
    </row>
    <row r="101" spans="1:16">
      <c r="A101" s="9">
        <v>157</v>
      </c>
      <c r="B101" s="9" t="s">
        <v>413</v>
      </c>
      <c r="C101" s="9">
        <v>3</v>
      </c>
      <c r="D101" s="10" t="s">
        <v>419</v>
      </c>
      <c r="E101" s="9" t="s">
        <v>390</v>
      </c>
      <c r="F101" s="9" t="s">
        <v>391</v>
      </c>
      <c r="G101" s="9"/>
      <c r="H101" s="9" t="s">
        <v>200</v>
      </c>
      <c r="I101" s="9" t="s">
        <v>160</v>
      </c>
      <c r="J101" s="11">
        <v>1</v>
      </c>
      <c r="K101" s="9" t="s">
        <v>45</v>
      </c>
      <c r="L101" s="9"/>
      <c r="M101" s="12"/>
      <c r="N101" s="13" t="s">
        <v>61</v>
      </c>
      <c r="O101" s="10"/>
      <c r="P101" s="15"/>
    </row>
    <row r="102" spans="1:16">
      <c r="A102" s="9">
        <v>158</v>
      </c>
      <c r="B102" s="9" t="s">
        <v>413</v>
      </c>
      <c r="C102" s="9">
        <v>4</v>
      </c>
      <c r="D102" s="10" t="s">
        <v>420</v>
      </c>
      <c r="E102" s="9" t="s">
        <v>390</v>
      </c>
      <c r="F102" s="9" t="s">
        <v>391</v>
      </c>
      <c r="G102" s="9"/>
      <c r="H102" s="9" t="s">
        <v>172</v>
      </c>
      <c r="I102" s="9" t="s">
        <v>295</v>
      </c>
      <c r="J102" s="11">
        <v>76</v>
      </c>
      <c r="K102" s="9" t="s">
        <v>45</v>
      </c>
      <c r="L102" s="9"/>
      <c r="M102" s="12"/>
      <c r="N102" s="13" t="s">
        <v>61</v>
      </c>
      <c r="O102" s="10"/>
      <c r="P102" s="15"/>
    </row>
    <row r="103" spans="1:16" ht="16">
      <c r="A103" s="9">
        <v>159</v>
      </c>
      <c r="B103" s="9" t="s">
        <v>413</v>
      </c>
      <c r="C103" s="9">
        <v>5</v>
      </c>
      <c r="D103" s="10" t="s">
        <v>421</v>
      </c>
      <c r="E103" s="20" t="s">
        <v>733</v>
      </c>
      <c r="F103" s="9" t="s">
        <v>422</v>
      </c>
      <c r="G103" s="9"/>
      <c r="H103" s="9" t="s">
        <v>423</v>
      </c>
      <c r="I103" s="9" t="s">
        <v>54</v>
      </c>
      <c r="J103" s="11">
        <v>50</v>
      </c>
      <c r="K103" s="9" t="s">
        <v>45</v>
      </c>
      <c r="L103" s="9"/>
      <c r="M103" s="12"/>
      <c r="N103" s="13" t="s">
        <v>46</v>
      </c>
      <c r="O103" s="10"/>
      <c r="P103" s="15"/>
    </row>
    <row r="104" spans="1:16" ht="17">
      <c r="A104" s="9">
        <v>160</v>
      </c>
      <c r="B104" s="9" t="s">
        <v>413</v>
      </c>
      <c r="C104" s="9">
        <v>6</v>
      </c>
      <c r="D104" s="19" t="s">
        <v>730</v>
      </c>
      <c r="E104" s="20" t="s">
        <v>749</v>
      </c>
      <c r="F104" s="20" t="s">
        <v>749</v>
      </c>
      <c r="G104" s="9"/>
      <c r="H104" s="9" t="s">
        <v>750</v>
      </c>
      <c r="I104" s="9" t="s">
        <v>425</v>
      </c>
      <c r="J104" s="11">
        <v>731</v>
      </c>
      <c r="K104" s="9" t="s">
        <v>45</v>
      </c>
      <c r="L104" s="9"/>
      <c r="M104" s="12"/>
      <c r="N104" s="13" t="s">
        <v>46</v>
      </c>
      <c r="O104" s="14" t="s">
        <v>426</v>
      </c>
      <c r="P104" s="15"/>
    </row>
    <row r="105" spans="1:16">
      <c r="A105" s="9">
        <v>161</v>
      </c>
      <c r="B105" s="9" t="s">
        <v>413</v>
      </c>
      <c r="C105" s="9">
        <v>7</v>
      </c>
      <c r="D105" s="10" t="s">
        <v>427</v>
      </c>
      <c r="E105" s="9" t="s">
        <v>428</v>
      </c>
      <c r="F105" s="9" t="s">
        <v>429</v>
      </c>
      <c r="G105" s="9"/>
      <c r="H105" s="9" t="s">
        <v>283</v>
      </c>
      <c r="I105" s="9" t="s">
        <v>430</v>
      </c>
      <c r="J105" s="11">
        <v>29</v>
      </c>
      <c r="K105" s="9" t="s">
        <v>45</v>
      </c>
      <c r="L105" s="9"/>
      <c r="M105" s="12"/>
      <c r="N105" s="13" t="s">
        <v>61</v>
      </c>
      <c r="O105" s="10"/>
      <c r="P105" s="15"/>
    </row>
    <row r="106" spans="1:16">
      <c r="A106" s="9">
        <v>162</v>
      </c>
      <c r="B106" s="9" t="s">
        <v>413</v>
      </c>
      <c r="C106" s="9">
        <v>8</v>
      </c>
      <c r="D106" s="10" t="s">
        <v>431</v>
      </c>
      <c r="E106" s="9" t="s">
        <v>428</v>
      </c>
      <c r="F106" s="9" t="s">
        <v>429</v>
      </c>
      <c r="G106" s="9"/>
      <c r="H106" s="9" t="s">
        <v>285</v>
      </c>
      <c r="I106" s="9" t="s">
        <v>257</v>
      </c>
      <c r="J106" s="11">
        <v>15</v>
      </c>
      <c r="K106" s="9" t="s">
        <v>45</v>
      </c>
      <c r="L106" s="9"/>
      <c r="M106" s="12"/>
      <c r="N106" s="13" t="s">
        <v>61</v>
      </c>
      <c r="O106" s="10"/>
      <c r="P106" s="15"/>
    </row>
    <row r="107" spans="1:16">
      <c r="A107" s="9">
        <v>163</v>
      </c>
      <c r="B107" s="9" t="s">
        <v>413</v>
      </c>
      <c r="C107" s="9">
        <v>9</v>
      </c>
      <c r="D107" s="10" t="s">
        <v>432</v>
      </c>
      <c r="E107" s="9" t="s">
        <v>428</v>
      </c>
      <c r="F107" s="9" t="s">
        <v>429</v>
      </c>
      <c r="G107" s="9"/>
      <c r="H107" s="9" t="s">
        <v>309</v>
      </c>
      <c r="I107" s="9" t="s">
        <v>160</v>
      </c>
      <c r="J107" s="11">
        <v>1</v>
      </c>
      <c r="K107" s="9" t="s">
        <v>45</v>
      </c>
      <c r="L107" s="9"/>
      <c r="M107" s="12"/>
      <c r="N107" s="13" t="s">
        <v>61</v>
      </c>
      <c r="O107" s="10"/>
      <c r="P107" s="15"/>
    </row>
    <row r="108" spans="1:16">
      <c r="A108" s="9">
        <v>164</v>
      </c>
      <c r="B108" s="9" t="s">
        <v>413</v>
      </c>
      <c r="C108" s="9">
        <v>10</v>
      </c>
      <c r="D108" s="10" t="s">
        <v>433</v>
      </c>
      <c r="E108" s="9" t="s">
        <v>428</v>
      </c>
      <c r="F108" s="9" t="s">
        <v>429</v>
      </c>
      <c r="G108" s="9"/>
      <c r="H108" s="9" t="s">
        <v>434</v>
      </c>
      <c r="I108" s="9" t="s">
        <v>109</v>
      </c>
      <c r="J108" s="11">
        <v>37</v>
      </c>
      <c r="K108" s="9" t="s">
        <v>45</v>
      </c>
      <c r="L108" s="9"/>
      <c r="M108" s="12"/>
      <c r="N108" s="13" t="s">
        <v>61</v>
      </c>
      <c r="O108" s="10"/>
      <c r="P108" s="15"/>
    </row>
    <row r="109" spans="1:16">
      <c r="A109" s="9">
        <v>165</v>
      </c>
      <c r="B109" s="9" t="s">
        <v>413</v>
      </c>
      <c r="C109" s="9">
        <v>11</v>
      </c>
      <c r="D109" s="10" t="s">
        <v>435</v>
      </c>
      <c r="E109" s="9" t="s">
        <v>428</v>
      </c>
      <c r="F109" s="9" t="s">
        <v>429</v>
      </c>
      <c r="G109" s="9"/>
      <c r="H109" s="9" t="s">
        <v>288</v>
      </c>
      <c r="I109" s="9" t="s">
        <v>436</v>
      </c>
      <c r="J109" s="11">
        <v>44</v>
      </c>
      <c r="K109" s="9" t="s">
        <v>45</v>
      </c>
      <c r="L109" s="9"/>
      <c r="M109" s="12"/>
      <c r="N109" s="13" t="s">
        <v>61</v>
      </c>
      <c r="O109" s="10"/>
      <c r="P109" s="15"/>
    </row>
    <row r="111" spans="1:16">
      <c r="I111" s="3" t="s">
        <v>540</v>
      </c>
      <c r="J111" s="16">
        <f>SUM(J2:J109)</f>
        <v>7170</v>
      </c>
      <c r="O111" s="17" t="s">
        <v>541</v>
      </c>
    </row>
  </sheetData>
  <autoFilter ref="A1:P109" xr:uid="{00000000-0009-0000-0000-000001000000}"/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125" workbookViewId="0"/>
  </sheetViews>
  <sheetFormatPr baseColWidth="10" defaultColWidth="8.83203125" defaultRowHeight="14"/>
  <cols>
    <col min="1" max="1" width="16" customWidth="1"/>
    <col min="2" max="3" width="24" customWidth="1"/>
    <col min="4" max="4" width="10" customWidth="1"/>
    <col min="5" max="5" width="86" customWidth="1"/>
  </cols>
  <sheetData>
    <row r="1" spans="1:5">
      <c r="A1" s="18" t="s">
        <v>542</v>
      </c>
      <c r="B1" s="18" t="s">
        <v>543</v>
      </c>
      <c r="C1" s="18" t="s">
        <v>544</v>
      </c>
      <c r="D1" s="18" t="s">
        <v>545</v>
      </c>
      <c r="E1" s="18" t="s">
        <v>546</v>
      </c>
    </row>
    <row r="2" spans="1:5" ht="28">
      <c r="A2" s="9" t="s">
        <v>547</v>
      </c>
      <c r="B2" s="9" t="s">
        <v>450</v>
      </c>
      <c r="C2" s="9" t="s">
        <v>548</v>
      </c>
      <c r="D2" s="9" t="s">
        <v>549</v>
      </c>
      <c r="E2" s="14" t="s">
        <v>550</v>
      </c>
    </row>
    <row r="3" spans="1:5">
      <c r="A3" s="9" t="s">
        <v>551</v>
      </c>
      <c r="B3" s="9" t="s">
        <v>446</v>
      </c>
      <c r="C3" s="9" t="s">
        <v>552</v>
      </c>
      <c r="D3" s="9" t="s">
        <v>549</v>
      </c>
      <c r="E3" s="10"/>
    </row>
    <row r="4" spans="1:5">
      <c r="A4" s="9" t="s">
        <v>553</v>
      </c>
      <c r="B4" s="9" t="s">
        <v>447</v>
      </c>
      <c r="C4" s="9" t="s">
        <v>554</v>
      </c>
      <c r="D4" s="9" t="s">
        <v>549</v>
      </c>
      <c r="E4" s="10"/>
    </row>
    <row r="5" spans="1:5">
      <c r="A5" s="9" t="s">
        <v>555</v>
      </c>
      <c r="B5" s="9" t="s">
        <v>470</v>
      </c>
      <c r="C5" s="9" t="s">
        <v>556</v>
      </c>
      <c r="D5" s="9" t="s">
        <v>549</v>
      </c>
      <c r="E5" s="10" t="s">
        <v>557</v>
      </c>
    </row>
    <row r="6" spans="1:5">
      <c r="A6" s="9" t="s">
        <v>558</v>
      </c>
      <c r="B6" s="9" t="s">
        <v>464</v>
      </c>
      <c r="C6" s="9" t="s">
        <v>559</v>
      </c>
      <c r="D6" s="9" t="s">
        <v>549</v>
      </c>
      <c r="E6" s="10"/>
    </row>
    <row r="7" spans="1:5">
      <c r="A7" s="9" t="s">
        <v>560</v>
      </c>
      <c r="B7" s="9" t="s">
        <v>467</v>
      </c>
      <c r="C7" s="9" t="s">
        <v>561</v>
      </c>
      <c r="D7" s="9" t="s">
        <v>549</v>
      </c>
      <c r="E7" s="10"/>
    </row>
    <row r="8" spans="1:5">
      <c r="A8" s="9" t="s">
        <v>562</v>
      </c>
      <c r="B8" s="9" t="s">
        <v>180</v>
      </c>
      <c r="C8" s="9" t="s">
        <v>563</v>
      </c>
      <c r="D8" s="9" t="s">
        <v>549</v>
      </c>
      <c r="E8" s="10"/>
    </row>
    <row r="9" spans="1:5">
      <c r="A9" s="9" t="s">
        <v>564</v>
      </c>
      <c r="B9" s="9" t="s">
        <v>183</v>
      </c>
      <c r="C9" s="9" t="s">
        <v>565</v>
      </c>
      <c r="D9" s="9" t="s">
        <v>549</v>
      </c>
      <c r="E9" s="10"/>
    </row>
    <row r="10" spans="1:5">
      <c r="A10" s="9" t="s">
        <v>566</v>
      </c>
      <c r="B10" s="9" t="s">
        <v>142</v>
      </c>
      <c r="C10" s="9" t="s">
        <v>567</v>
      </c>
      <c r="D10" s="9" t="s">
        <v>549</v>
      </c>
      <c r="E10" s="10"/>
    </row>
    <row r="11" spans="1:5">
      <c r="A11" s="9" t="s">
        <v>136</v>
      </c>
      <c r="B11" s="9" t="s">
        <v>136</v>
      </c>
      <c r="C11" s="9" t="s">
        <v>568</v>
      </c>
      <c r="D11" s="9" t="s">
        <v>549</v>
      </c>
      <c r="E11" s="10"/>
    </row>
    <row r="12" spans="1:5">
      <c r="A12" s="9" t="s">
        <v>211</v>
      </c>
      <c r="B12" s="9" t="s">
        <v>569</v>
      </c>
      <c r="C12" s="9"/>
      <c r="D12" s="9" t="s">
        <v>151</v>
      </c>
      <c r="E12" s="10" t="s">
        <v>570</v>
      </c>
    </row>
    <row r="13" spans="1:5">
      <c r="A13" s="9" t="s">
        <v>206</v>
      </c>
      <c r="B13" s="9" t="s">
        <v>151</v>
      </c>
      <c r="C13" s="9"/>
      <c r="D13" s="9" t="s">
        <v>571</v>
      </c>
      <c r="E13" s="14" t="s">
        <v>572</v>
      </c>
    </row>
    <row r="14" spans="1:5">
      <c r="A14" s="9" t="s">
        <v>573</v>
      </c>
      <c r="B14" s="9" t="s">
        <v>569</v>
      </c>
      <c r="C14" s="9"/>
      <c r="D14" s="9" t="s">
        <v>151</v>
      </c>
      <c r="E14" s="10" t="s">
        <v>574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50" customWidth="1"/>
    <col min="4" max="4" width="78" customWidth="1"/>
  </cols>
  <sheetData>
    <row r="1" spans="1:4">
      <c r="A1" s="18" t="s">
        <v>575</v>
      </c>
      <c r="B1" s="18" t="s">
        <v>27</v>
      </c>
      <c r="C1" s="18" t="s">
        <v>29</v>
      </c>
      <c r="D1" s="18" t="s">
        <v>576</v>
      </c>
    </row>
    <row r="2" spans="1:4">
      <c r="A2" s="9">
        <v>1</v>
      </c>
      <c r="B2" s="9" t="s">
        <v>41</v>
      </c>
      <c r="C2" s="10" t="s">
        <v>42</v>
      </c>
      <c r="D2" s="14" t="s">
        <v>47</v>
      </c>
    </row>
    <row r="3" spans="1:4">
      <c r="A3" s="9">
        <v>2</v>
      </c>
      <c r="B3" s="9" t="s">
        <v>41</v>
      </c>
      <c r="C3" s="10" t="s">
        <v>48</v>
      </c>
      <c r="D3" s="14" t="s">
        <v>50</v>
      </c>
    </row>
    <row r="4" spans="1:4">
      <c r="A4" s="9">
        <v>3</v>
      </c>
      <c r="B4" s="9" t="s">
        <v>41</v>
      </c>
      <c r="C4" s="10" t="s">
        <v>51</v>
      </c>
      <c r="D4" s="14" t="s">
        <v>52</v>
      </c>
    </row>
    <row r="5" spans="1:4">
      <c r="A5" s="9">
        <v>7</v>
      </c>
      <c r="B5" s="9" t="s">
        <v>41</v>
      </c>
      <c r="C5" s="10" t="s">
        <v>55</v>
      </c>
      <c r="D5" s="14" t="s">
        <v>56</v>
      </c>
    </row>
    <row r="6" spans="1:4">
      <c r="A6" s="9">
        <v>10</v>
      </c>
      <c r="B6" s="9" t="s">
        <v>41</v>
      </c>
      <c r="C6" s="10" t="s">
        <v>62</v>
      </c>
      <c r="D6" s="14" t="s">
        <v>64</v>
      </c>
    </row>
    <row r="7" spans="1:4">
      <c r="A7" s="9">
        <v>11</v>
      </c>
      <c r="B7" s="9" t="s">
        <v>41</v>
      </c>
      <c r="C7" s="10" t="s">
        <v>65</v>
      </c>
      <c r="D7" s="14" t="s">
        <v>66</v>
      </c>
    </row>
    <row r="8" spans="1:4">
      <c r="A8" s="9">
        <v>17</v>
      </c>
      <c r="B8" s="9" t="s">
        <v>41</v>
      </c>
      <c r="C8" s="10" t="s">
        <v>70</v>
      </c>
      <c r="D8" s="14" t="s">
        <v>73</v>
      </c>
    </row>
    <row r="9" spans="1:4">
      <c r="A9" s="9">
        <v>21</v>
      </c>
      <c r="B9" s="9" t="s">
        <v>75</v>
      </c>
      <c r="C9" s="10" t="s">
        <v>78</v>
      </c>
      <c r="D9" s="14" t="s">
        <v>79</v>
      </c>
    </row>
    <row r="10" spans="1:4">
      <c r="A10" s="9">
        <v>24</v>
      </c>
      <c r="B10" s="9" t="s">
        <v>75</v>
      </c>
      <c r="C10" s="10" t="s">
        <v>82</v>
      </c>
      <c r="D10" s="14" t="s">
        <v>79</v>
      </c>
    </row>
    <row r="11" spans="1:4">
      <c r="A11" s="9">
        <v>29</v>
      </c>
      <c r="B11" s="9" t="s">
        <v>75</v>
      </c>
      <c r="C11" s="10" t="s">
        <v>85</v>
      </c>
      <c r="D11" s="14" t="s">
        <v>52</v>
      </c>
    </row>
    <row r="12" spans="1:4">
      <c r="A12" s="9">
        <v>30</v>
      </c>
      <c r="B12" s="9" t="s">
        <v>75</v>
      </c>
      <c r="C12" s="10" t="s">
        <v>86</v>
      </c>
      <c r="D12" s="14" t="s">
        <v>89</v>
      </c>
    </row>
    <row r="13" spans="1:4">
      <c r="A13" s="9">
        <v>31</v>
      </c>
      <c r="B13" s="9" t="s">
        <v>75</v>
      </c>
      <c r="C13" s="10" t="s">
        <v>90</v>
      </c>
      <c r="D13" s="14" t="s">
        <v>93</v>
      </c>
    </row>
    <row r="14" spans="1:4">
      <c r="A14" s="9">
        <v>34</v>
      </c>
      <c r="B14" s="9" t="s">
        <v>75</v>
      </c>
      <c r="C14" s="10" t="s">
        <v>94</v>
      </c>
      <c r="D14" s="14" t="s">
        <v>99</v>
      </c>
    </row>
    <row r="15" spans="1:4">
      <c r="A15" s="9">
        <v>36</v>
      </c>
      <c r="B15" s="9" t="s">
        <v>75</v>
      </c>
      <c r="C15" s="10" t="s">
        <v>103</v>
      </c>
      <c r="D15" s="14" t="s">
        <v>104</v>
      </c>
    </row>
    <row r="16" spans="1:4">
      <c r="A16" s="9">
        <v>38</v>
      </c>
      <c r="B16" s="9" t="s">
        <v>75</v>
      </c>
      <c r="C16" s="10" t="s">
        <v>106</v>
      </c>
      <c r="D16" s="14" t="s">
        <v>110</v>
      </c>
    </row>
    <row r="17" spans="1:4">
      <c r="A17" s="9">
        <v>39</v>
      </c>
      <c r="B17" s="9" t="s">
        <v>75</v>
      </c>
      <c r="C17" s="10" t="s">
        <v>111</v>
      </c>
      <c r="D17" s="14" t="s">
        <v>114</v>
      </c>
    </row>
    <row r="18" spans="1:4">
      <c r="A18" s="9">
        <v>44</v>
      </c>
      <c r="B18" s="9" t="s">
        <v>115</v>
      </c>
      <c r="C18" s="10" t="s">
        <v>124</v>
      </c>
      <c r="D18" s="14" t="s">
        <v>126</v>
      </c>
    </row>
    <row r="19" spans="1:4">
      <c r="A19" s="9">
        <v>46</v>
      </c>
      <c r="B19" s="9" t="s">
        <v>115</v>
      </c>
      <c r="C19" s="10" t="s">
        <v>130</v>
      </c>
      <c r="D19" s="14" t="s">
        <v>126</v>
      </c>
    </row>
    <row r="20" spans="1:4">
      <c r="A20" s="9">
        <v>48</v>
      </c>
      <c r="B20" s="9" t="s">
        <v>115</v>
      </c>
      <c r="C20" s="10" t="s">
        <v>134</v>
      </c>
      <c r="D20" s="14" t="s">
        <v>138</v>
      </c>
    </row>
    <row r="21" spans="1:4">
      <c r="A21" s="9">
        <v>52</v>
      </c>
      <c r="B21" s="9" t="s">
        <v>115</v>
      </c>
      <c r="C21" s="10" t="s">
        <v>150</v>
      </c>
      <c r="D21" s="14" t="s">
        <v>152</v>
      </c>
    </row>
    <row r="22" spans="1:4">
      <c r="A22" s="9">
        <v>53</v>
      </c>
      <c r="B22" s="9" t="s">
        <v>153</v>
      </c>
      <c r="C22" s="10" t="s">
        <v>154</v>
      </c>
      <c r="D22" s="14" t="s">
        <v>157</v>
      </c>
    </row>
    <row r="23" spans="1:4">
      <c r="A23" s="9">
        <v>54</v>
      </c>
      <c r="B23" s="9" t="s">
        <v>153</v>
      </c>
      <c r="C23" s="10" t="s">
        <v>158</v>
      </c>
      <c r="D23" s="14" t="s">
        <v>114</v>
      </c>
    </row>
    <row r="24" spans="1:4">
      <c r="A24" s="9">
        <v>57</v>
      </c>
      <c r="B24" s="9" t="s">
        <v>153</v>
      </c>
      <c r="C24" s="10" t="s">
        <v>159</v>
      </c>
      <c r="D24" s="14" t="s">
        <v>161</v>
      </c>
    </row>
    <row r="25" spans="1:4">
      <c r="A25" s="9">
        <v>58</v>
      </c>
      <c r="B25" s="9" t="s">
        <v>153</v>
      </c>
      <c r="C25" s="10" t="s">
        <v>162</v>
      </c>
      <c r="D25" s="14" t="s">
        <v>163</v>
      </c>
    </row>
    <row r="26" spans="1:4">
      <c r="A26" s="9">
        <v>61</v>
      </c>
      <c r="B26" s="9" t="s">
        <v>153</v>
      </c>
      <c r="C26" s="10" t="s">
        <v>165</v>
      </c>
      <c r="D26" s="14" t="s">
        <v>166</v>
      </c>
    </row>
    <row r="27" spans="1:4">
      <c r="A27" s="9">
        <v>67</v>
      </c>
      <c r="B27" s="9" t="s">
        <v>153</v>
      </c>
      <c r="C27" s="10" t="s">
        <v>173</v>
      </c>
      <c r="D27" s="14" t="s">
        <v>174</v>
      </c>
    </row>
    <row r="28" spans="1:4">
      <c r="A28" s="9">
        <v>70</v>
      </c>
      <c r="B28" s="9" t="s">
        <v>176</v>
      </c>
      <c r="C28" s="10" t="s">
        <v>177</v>
      </c>
      <c r="D28" s="14" t="s">
        <v>157</v>
      </c>
    </row>
    <row r="29" spans="1:4">
      <c r="A29" s="9">
        <v>75</v>
      </c>
      <c r="B29" s="9" t="s">
        <v>176</v>
      </c>
      <c r="C29" s="10" t="s">
        <v>194</v>
      </c>
      <c r="D29" s="14" t="s">
        <v>197</v>
      </c>
    </row>
    <row r="30" spans="1:4">
      <c r="A30" s="9">
        <v>77</v>
      </c>
      <c r="B30" s="9" t="s">
        <v>176</v>
      </c>
      <c r="C30" s="10" t="s">
        <v>201</v>
      </c>
      <c r="D30" s="14" t="s">
        <v>204</v>
      </c>
    </row>
    <row r="31" spans="1:4">
      <c r="A31" s="9">
        <v>78</v>
      </c>
      <c r="B31" s="9" t="s">
        <v>176</v>
      </c>
      <c r="C31" s="10" t="s">
        <v>205</v>
      </c>
      <c r="D31" s="14" t="s">
        <v>209</v>
      </c>
    </row>
    <row r="32" spans="1:4">
      <c r="A32" s="9">
        <v>79</v>
      </c>
      <c r="B32" s="9" t="s">
        <v>176</v>
      </c>
      <c r="C32" s="10" t="s">
        <v>210</v>
      </c>
      <c r="D32" s="14" t="s">
        <v>214</v>
      </c>
    </row>
    <row r="33" spans="1:4">
      <c r="A33" s="9">
        <v>89</v>
      </c>
      <c r="B33" s="9" t="s">
        <v>236</v>
      </c>
      <c r="C33" s="10" t="s">
        <v>237</v>
      </c>
      <c r="D33" s="14" t="s">
        <v>157</v>
      </c>
    </row>
    <row r="34" spans="1:4">
      <c r="A34" s="9">
        <v>91</v>
      </c>
      <c r="B34" s="9" t="s">
        <v>236</v>
      </c>
      <c r="C34" s="10" t="s">
        <v>242</v>
      </c>
      <c r="D34" s="14" t="s">
        <v>244</v>
      </c>
    </row>
    <row r="35" spans="1:4">
      <c r="A35" s="9">
        <v>93</v>
      </c>
      <c r="B35" s="9" t="s">
        <v>236</v>
      </c>
      <c r="C35" s="10" t="s">
        <v>247</v>
      </c>
      <c r="D35" s="14" t="s">
        <v>249</v>
      </c>
    </row>
    <row r="36" spans="1:4">
      <c r="A36" s="9">
        <v>95</v>
      </c>
      <c r="B36" s="9" t="s">
        <v>236</v>
      </c>
      <c r="C36" s="10" t="s">
        <v>254</v>
      </c>
      <c r="D36" s="14" t="s">
        <v>197</v>
      </c>
    </row>
    <row r="37" spans="1:4">
      <c r="A37" s="9">
        <v>101</v>
      </c>
      <c r="B37" s="9" t="s">
        <v>236</v>
      </c>
      <c r="C37" s="10" t="s">
        <v>269</v>
      </c>
      <c r="D37" s="14" t="s">
        <v>114</v>
      </c>
    </row>
    <row r="38" spans="1:4">
      <c r="A38" s="9">
        <v>102</v>
      </c>
      <c r="B38" s="9" t="s">
        <v>236</v>
      </c>
      <c r="C38" s="10" t="s">
        <v>271</v>
      </c>
      <c r="D38" s="14" t="s">
        <v>273</v>
      </c>
    </row>
    <row r="39" spans="1:4">
      <c r="A39" s="9">
        <v>110</v>
      </c>
      <c r="B39" s="9" t="s">
        <v>290</v>
      </c>
      <c r="C39" s="10" t="s">
        <v>291</v>
      </c>
      <c r="D39" s="14" t="s">
        <v>157</v>
      </c>
    </row>
    <row r="40" spans="1:4">
      <c r="A40" s="9">
        <v>117</v>
      </c>
      <c r="B40" s="9" t="s">
        <v>290</v>
      </c>
      <c r="C40" s="10" t="s">
        <v>311</v>
      </c>
      <c r="D40" s="14" t="s">
        <v>315</v>
      </c>
    </row>
    <row r="41" spans="1:4">
      <c r="A41" s="9">
        <v>123</v>
      </c>
      <c r="B41" s="9" t="s">
        <v>290</v>
      </c>
      <c r="C41" s="10" t="s">
        <v>330</v>
      </c>
      <c r="D41" s="14" t="s">
        <v>333</v>
      </c>
    </row>
    <row r="42" spans="1:4">
      <c r="A42" s="9">
        <v>124</v>
      </c>
      <c r="B42" s="9" t="s">
        <v>290</v>
      </c>
      <c r="C42" s="10" t="s">
        <v>334</v>
      </c>
      <c r="D42" s="14" t="s">
        <v>335</v>
      </c>
    </row>
    <row r="43" spans="1:4">
      <c r="A43" s="9">
        <v>125</v>
      </c>
      <c r="B43" s="9" t="s">
        <v>290</v>
      </c>
      <c r="C43" s="10" t="s">
        <v>336</v>
      </c>
      <c r="D43" s="14" t="s">
        <v>197</v>
      </c>
    </row>
    <row r="44" spans="1:4">
      <c r="A44" s="9">
        <v>127</v>
      </c>
      <c r="B44" s="9" t="s">
        <v>290</v>
      </c>
      <c r="C44" s="10" t="s">
        <v>341</v>
      </c>
      <c r="D44" s="14" t="s">
        <v>114</v>
      </c>
    </row>
    <row r="45" spans="1:4">
      <c r="A45" s="9">
        <v>130</v>
      </c>
      <c r="B45" s="9" t="s">
        <v>290</v>
      </c>
      <c r="C45" s="10" t="s">
        <v>350</v>
      </c>
      <c r="D45" s="14" t="s">
        <v>353</v>
      </c>
    </row>
    <row r="46" spans="1:4">
      <c r="A46" s="9">
        <v>131</v>
      </c>
      <c r="B46" s="9" t="s">
        <v>354</v>
      </c>
      <c r="C46" s="10" t="s">
        <v>355</v>
      </c>
      <c r="D46" s="14" t="s">
        <v>157</v>
      </c>
    </row>
    <row r="47" spans="1:4">
      <c r="A47" s="9">
        <v>136</v>
      </c>
      <c r="B47" s="9" t="s">
        <v>354</v>
      </c>
      <c r="C47" s="10" t="s">
        <v>371</v>
      </c>
      <c r="D47" s="14" t="s">
        <v>373</v>
      </c>
    </row>
    <row r="48" spans="1:4">
      <c r="A48" s="9">
        <v>137</v>
      </c>
      <c r="B48" s="9" t="s">
        <v>354</v>
      </c>
      <c r="C48" s="10" t="s">
        <v>374</v>
      </c>
      <c r="D48" s="14" t="s">
        <v>378</v>
      </c>
    </row>
    <row r="49" spans="1:4">
      <c r="A49" s="9">
        <v>140</v>
      </c>
      <c r="B49" s="9" t="s">
        <v>354</v>
      </c>
      <c r="C49" s="10" t="s">
        <v>384</v>
      </c>
      <c r="D49" s="14" t="s">
        <v>386</v>
      </c>
    </row>
    <row r="50" spans="1:4">
      <c r="A50" s="9">
        <v>145</v>
      </c>
      <c r="B50" s="9" t="s">
        <v>354</v>
      </c>
      <c r="C50" s="10" t="s">
        <v>387</v>
      </c>
      <c r="D50" s="14" t="s">
        <v>197</v>
      </c>
    </row>
    <row r="51" spans="1:4">
      <c r="A51" s="9">
        <v>148</v>
      </c>
      <c r="B51" s="9" t="s">
        <v>388</v>
      </c>
      <c r="C51" s="10" t="s">
        <v>389</v>
      </c>
      <c r="D51" s="14" t="s">
        <v>394</v>
      </c>
    </row>
    <row r="52" spans="1:4">
      <c r="A52" s="9">
        <v>150</v>
      </c>
      <c r="B52" s="9" t="s">
        <v>388</v>
      </c>
      <c r="C52" s="10" t="s">
        <v>398</v>
      </c>
      <c r="D52" s="14" t="s">
        <v>401</v>
      </c>
    </row>
    <row r="53" spans="1:4">
      <c r="A53" s="9">
        <v>151</v>
      </c>
      <c r="B53" s="9" t="s">
        <v>388</v>
      </c>
      <c r="C53" s="10" t="s">
        <v>402</v>
      </c>
      <c r="D53" s="14" t="s">
        <v>404</v>
      </c>
    </row>
    <row r="54" spans="1:4">
      <c r="A54" s="9">
        <v>152</v>
      </c>
      <c r="B54" s="9" t="s">
        <v>388</v>
      </c>
      <c r="C54" s="10" t="s">
        <v>405</v>
      </c>
      <c r="D54" s="14" t="s">
        <v>408</v>
      </c>
    </row>
    <row r="55" spans="1:4">
      <c r="A55" s="9">
        <v>154</v>
      </c>
      <c r="B55" s="9" t="s">
        <v>388</v>
      </c>
      <c r="C55" s="10" t="s">
        <v>411</v>
      </c>
      <c r="D55" s="14" t="s">
        <v>197</v>
      </c>
    </row>
    <row r="56" spans="1:4">
      <c r="A56" s="9">
        <v>155</v>
      </c>
      <c r="B56" s="9" t="s">
        <v>413</v>
      </c>
      <c r="C56" s="10" t="s">
        <v>414</v>
      </c>
      <c r="D56" s="14" t="s">
        <v>157</v>
      </c>
    </row>
    <row r="57" spans="1:4">
      <c r="A57" s="9">
        <v>156</v>
      </c>
      <c r="B57" s="9" t="s">
        <v>413</v>
      </c>
      <c r="C57" s="10" t="s">
        <v>417</v>
      </c>
      <c r="D57" s="14" t="s">
        <v>418</v>
      </c>
    </row>
    <row r="58" spans="1:4">
      <c r="A58" s="9">
        <v>160</v>
      </c>
      <c r="B58" s="9" t="s">
        <v>413</v>
      </c>
      <c r="C58" s="10" t="s">
        <v>424</v>
      </c>
      <c r="D58" s="14" t="s">
        <v>426</v>
      </c>
    </row>
    <row r="59" spans="1:4">
      <c r="A59" s="9">
        <v>166</v>
      </c>
      <c r="B59" s="9" t="s">
        <v>437</v>
      </c>
      <c r="C59" s="10" t="s">
        <v>438</v>
      </c>
      <c r="D59" s="14" t="s">
        <v>439</v>
      </c>
    </row>
    <row r="60" spans="1:4">
      <c r="A60" s="9">
        <v>167</v>
      </c>
      <c r="B60" s="9" t="s">
        <v>437</v>
      </c>
      <c r="C60" s="10" t="s">
        <v>440</v>
      </c>
      <c r="D60" s="14" t="s">
        <v>441</v>
      </c>
    </row>
    <row r="61" spans="1:4">
      <c r="A61" s="9">
        <v>168</v>
      </c>
      <c r="B61" s="9" t="s">
        <v>437</v>
      </c>
      <c r="C61" s="10" t="s">
        <v>442</v>
      </c>
      <c r="D61" s="14" t="s">
        <v>443</v>
      </c>
    </row>
    <row r="62" spans="1:4">
      <c r="A62" s="9">
        <v>178</v>
      </c>
      <c r="B62" s="9" t="s">
        <v>444</v>
      </c>
      <c r="C62" s="10" t="s">
        <v>448</v>
      </c>
      <c r="D62" s="14" t="s">
        <v>451</v>
      </c>
    </row>
    <row r="63" spans="1:4">
      <c r="A63" s="9">
        <v>185</v>
      </c>
      <c r="B63" s="9" t="s">
        <v>444</v>
      </c>
      <c r="C63" s="10" t="s">
        <v>452</v>
      </c>
      <c r="D63" s="14" t="s">
        <v>453</v>
      </c>
    </row>
    <row r="64" spans="1:4">
      <c r="A64" s="9">
        <v>190</v>
      </c>
      <c r="B64" s="9" t="s">
        <v>444</v>
      </c>
      <c r="C64" s="10" t="s">
        <v>455</v>
      </c>
      <c r="D64" s="14" t="s">
        <v>451</v>
      </c>
    </row>
    <row r="65" spans="1:4" ht="28">
      <c r="A65" s="9">
        <v>191</v>
      </c>
      <c r="B65" s="9" t="s">
        <v>444</v>
      </c>
      <c r="C65" s="10" t="s">
        <v>456</v>
      </c>
      <c r="D65" s="14" t="s">
        <v>457</v>
      </c>
    </row>
    <row r="66" spans="1:4">
      <c r="A66" s="9">
        <v>193</v>
      </c>
      <c r="B66" s="9" t="s">
        <v>458</v>
      </c>
      <c r="C66" s="10" t="s">
        <v>459</v>
      </c>
      <c r="D66" s="14" t="s">
        <v>451</v>
      </c>
    </row>
    <row r="67" spans="1:4">
      <c r="A67" s="9">
        <v>195</v>
      </c>
      <c r="B67" s="9" t="s">
        <v>458</v>
      </c>
      <c r="C67" s="10" t="s">
        <v>460</v>
      </c>
      <c r="D67" s="14" t="s">
        <v>451</v>
      </c>
    </row>
    <row r="68" spans="1:4">
      <c r="A68" s="9">
        <v>200</v>
      </c>
      <c r="B68" s="9" t="s">
        <v>458</v>
      </c>
      <c r="C68" s="10" t="s">
        <v>461</v>
      </c>
      <c r="D68" s="14" t="s">
        <v>451</v>
      </c>
    </row>
    <row r="69" spans="1:4">
      <c r="A69" s="9">
        <v>204</v>
      </c>
      <c r="B69" s="9" t="s">
        <v>458</v>
      </c>
      <c r="C69" s="10" t="s">
        <v>462</v>
      </c>
      <c r="D69" s="14" t="s">
        <v>451</v>
      </c>
    </row>
    <row r="70" spans="1:4">
      <c r="A70" s="9">
        <v>207</v>
      </c>
      <c r="B70" s="9" t="s">
        <v>458</v>
      </c>
      <c r="C70" s="10" t="s">
        <v>463</v>
      </c>
      <c r="D70" s="14" t="s">
        <v>451</v>
      </c>
    </row>
    <row r="71" spans="1:4">
      <c r="A71" s="9">
        <v>208</v>
      </c>
      <c r="B71" s="9" t="s">
        <v>458</v>
      </c>
      <c r="C71" s="10" t="s">
        <v>465</v>
      </c>
      <c r="D71" s="14" t="s">
        <v>468</v>
      </c>
    </row>
    <row r="72" spans="1:4">
      <c r="A72" s="9">
        <v>211</v>
      </c>
      <c r="B72" s="9" t="s">
        <v>458</v>
      </c>
      <c r="C72" s="10" t="s">
        <v>471</v>
      </c>
      <c r="D72" s="14" t="s">
        <v>451</v>
      </c>
    </row>
    <row r="73" spans="1:4">
      <c r="A73" s="9">
        <v>217</v>
      </c>
      <c r="B73" s="9" t="s">
        <v>472</v>
      </c>
      <c r="C73" s="10" t="s">
        <v>473</v>
      </c>
      <c r="D73" s="14" t="s">
        <v>474</v>
      </c>
    </row>
    <row r="74" spans="1:4">
      <c r="A74" s="9">
        <v>218</v>
      </c>
      <c r="B74" s="9" t="s">
        <v>472</v>
      </c>
      <c r="C74" s="10" t="s">
        <v>475</v>
      </c>
      <c r="D74" s="14" t="s">
        <v>451</v>
      </c>
    </row>
    <row r="75" spans="1:4">
      <c r="A75" s="9">
        <v>219</v>
      </c>
      <c r="B75" s="9" t="s">
        <v>472</v>
      </c>
      <c r="C75" s="10" t="s">
        <v>476</v>
      </c>
      <c r="D75" s="14" t="s">
        <v>451</v>
      </c>
    </row>
    <row r="76" spans="1:4">
      <c r="A76" s="9">
        <v>221</v>
      </c>
      <c r="B76" s="9" t="s">
        <v>472</v>
      </c>
      <c r="C76" s="10" t="s">
        <v>477</v>
      </c>
      <c r="D76" s="14" t="s">
        <v>451</v>
      </c>
    </row>
    <row r="77" spans="1:4">
      <c r="A77" s="9">
        <v>222</v>
      </c>
      <c r="B77" s="9" t="s">
        <v>472</v>
      </c>
      <c r="C77" s="10" t="s">
        <v>478</v>
      </c>
      <c r="D77" s="14" t="s">
        <v>479</v>
      </c>
    </row>
    <row r="78" spans="1:4">
      <c r="A78" s="9">
        <v>229</v>
      </c>
      <c r="B78" s="9" t="s">
        <v>472</v>
      </c>
      <c r="C78" s="10" t="s">
        <v>480</v>
      </c>
      <c r="D78" s="14" t="s">
        <v>451</v>
      </c>
    </row>
    <row r="79" spans="1:4" ht="28">
      <c r="A79" s="9">
        <v>231</v>
      </c>
      <c r="B79" s="9" t="s">
        <v>472</v>
      </c>
      <c r="C79" s="10" t="s">
        <v>482</v>
      </c>
      <c r="D79" s="14" t="s">
        <v>483</v>
      </c>
    </row>
    <row r="80" spans="1:4">
      <c r="A80" s="9">
        <v>235</v>
      </c>
      <c r="B80" s="9" t="s">
        <v>472</v>
      </c>
      <c r="C80" s="10" t="s">
        <v>484</v>
      </c>
      <c r="D80" s="14" t="s">
        <v>451</v>
      </c>
    </row>
    <row r="81" spans="1:4">
      <c r="A81" s="9">
        <v>236</v>
      </c>
      <c r="B81" s="9" t="s">
        <v>472</v>
      </c>
      <c r="C81" s="10" t="s">
        <v>485</v>
      </c>
      <c r="D81" s="14" t="s">
        <v>451</v>
      </c>
    </row>
    <row r="82" spans="1:4" ht="28">
      <c r="A82" s="9">
        <v>240</v>
      </c>
      <c r="B82" s="9" t="s">
        <v>488</v>
      </c>
      <c r="C82" s="10" t="s">
        <v>489</v>
      </c>
      <c r="D82" s="14" t="s">
        <v>490</v>
      </c>
    </row>
    <row r="83" spans="1:4" ht="28">
      <c r="A83" s="9">
        <v>242</v>
      </c>
      <c r="B83" s="9" t="s">
        <v>488</v>
      </c>
      <c r="C83" s="10" t="s">
        <v>491</v>
      </c>
      <c r="D83" s="14" t="s">
        <v>492</v>
      </c>
    </row>
    <row r="84" spans="1:4" ht="28">
      <c r="A84" s="9">
        <v>243</v>
      </c>
      <c r="B84" s="9" t="s">
        <v>488</v>
      </c>
      <c r="C84" s="10" t="s">
        <v>493</v>
      </c>
      <c r="D84" s="14" t="s">
        <v>494</v>
      </c>
    </row>
    <row r="85" spans="1:4">
      <c r="A85" s="9">
        <v>246</v>
      </c>
      <c r="B85" s="9" t="s">
        <v>488</v>
      </c>
      <c r="C85" s="10" t="s">
        <v>495</v>
      </c>
      <c r="D85" s="14" t="s">
        <v>451</v>
      </c>
    </row>
    <row r="86" spans="1:4">
      <c r="A86" s="9">
        <v>247</v>
      </c>
      <c r="B86" s="9" t="s">
        <v>488</v>
      </c>
      <c r="C86" s="10" t="s">
        <v>496</v>
      </c>
      <c r="D86" s="14" t="s">
        <v>451</v>
      </c>
    </row>
    <row r="87" spans="1:4">
      <c r="A87" s="9">
        <v>249</v>
      </c>
      <c r="B87" s="9" t="s">
        <v>488</v>
      </c>
      <c r="C87" s="10" t="s">
        <v>498</v>
      </c>
      <c r="D87" s="14" t="s">
        <v>499</v>
      </c>
    </row>
    <row r="88" spans="1:4">
      <c r="A88" s="9">
        <v>251</v>
      </c>
      <c r="B88" s="9" t="s">
        <v>488</v>
      </c>
      <c r="C88" s="10" t="s">
        <v>500</v>
      </c>
      <c r="D88" s="14" t="s">
        <v>451</v>
      </c>
    </row>
    <row r="89" spans="1:4">
      <c r="A89" s="9">
        <v>254</v>
      </c>
      <c r="B89" s="9" t="s">
        <v>488</v>
      </c>
      <c r="C89" s="10" t="s">
        <v>501</v>
      </c>
      <c r="D89" s="14" t="s">
        <v>502</v>
      </c>
    </row>
    <row r="90" spans="1:4">
      <c r="A90" s="9">
        <v>258</v>
      </c>
      <c r="B90" s="9" t="s">
        <v>488</v>
      </c>
      <c r="C90" s="10" t="s">
        <v>503</v>
      </c>
      <c r="D90" s="14" t="s">
        <v>451</v>
      </c>
    </row>
    <row r="91" spans="1:4">
      <c r="A91" s="9">
        <v>260</v>
      </c>
      <c r="B91" s="9" t="s">
        <v>488</v>
      </c>
      <c r="C91" s="10" t="s">
        <v>504</v>
      </c>
      <c r="D91" s="14" t="s">
        <v>505</v>
      </c>
    </row>
    <row r="92" spans="1:4">
      <c r="A92" s="9">
        <v>261</v>
      </c>
      <c r="B92" s="9" t="s">
        <v>488</v>
      </c>
      <c r="C92" s="10" t="s">
        <v>504</v>
      </c>
      <c r="D92" s="14" t="s">
        <v>506</v>
      </c>
    </row>
    <row r="93" spans="1:4">
      <c r="A93" s="9">
        <v>265</v>
      </c>
      <c r="B93" s="9" t="s">
        <v>488</v>
      </c>
      <c r="C93" s="10" t="s">
        <v>507</v>
      </c>
      <c r="D93" s="14" t="s">
        <v>451</v>
      </c>
    </row>
    <row r="94" spans="1:4">
      <c r="A94" s="9">
        <v>266</v>
      </c>
      <c r="B94" s="9" t="s">
        <v>488</v>
      </c>
      <c r="C94" s="10" t="s">
        <v>508</v>
      </c>
      <c r="D94" s="14" t="s">
        <v>451</v>
      </c>
    </row>
    <row r="95" spans="1:4">
      <c r="A95" s="9">
        <v>269</v>
      </c>
      <c r="B95" s="9" t="s">
        <v>509</v>
      </c>
      <c r="C95" s="10" t="s">
        <v>510</v>
      </c>
      <c r="D95" s="14" t="s">
        <v>511</v>
      </c>
    </row>
    <row r="96" spans="1:4">
      <c r="A96" s="9">
        <v>271</v>
      </c>
      <c r="B96" s="9" t="s">
        <v>509</v>
      </c>
      <c r="C96" s="10" t="s">
        <v>512</v>
      </c>
      <c r="D96" s="14" t="s">
        <v>451</v>
      </c>
    </row>
    <row r="97" spans="1:4">
      <c r="A97" s="9">
        <v>272</v>
      </c>
      <c r="B97" s="9" t="s">
        <v>509</v>
      </c>
      <c r="C97" s="10" t="s">
        <v>513</v>
      </c>
      <c r="D97" s="14" t="s">
        <v>514</v>
      </c>
    </row>
    <row r="98" spans="1:4">
      <c r="A98" s="9">
        <v>276</v>
      </c>
      <c r="B98" s="9" t="s">
        <v>509</v>
      </c>
      <c r="C98" s="10" t="s">
        <v>515</v>
      </c>
      <c r="D98" s="14" t="s">
        <v>516</v>
      </c>
    </row>
    <row r="99" spans="1:4">
      <c r="A99" s="9">
        <v>278</v>
      </c>
      <c r="B99" s="9" t="s">
        <v>509</v>
      </c>
      <c r="C99" s="10" t="s">
        <v>517</v>
      </c>
      <c r="D99" s="14" t="s">
        <v>516</v>
      </c>
    </row>
    <row r="100" spans="1:4">
      <c r="A100" s="9">
        <v>284</v>
      </c>
      <c r="B100" s="9" t="s">
        <v>509</v>
      </c>
      <c r="C100" s="10" t="s">
        <v>519</v>
      </c>
      <c r="D100" s="14" t="s">
        <v>451</v>
      </c>
    </row>
    <row r="101" spans="1:4">
      <c r="A101" s="9">
        <v>285</v>
      </c>
      <c r="B101" s="9" t="s">
        <v>509</v>
      </c>
      <c r="C101" s="10" t="s">
        <v>520</v>
      </c>
      <c r="D101" s="14" t="s">
        <v>451</v>
      </c>
    </row>
    <row r="102" spans="1:4">
      <c r="A102" s="9">
        <v>286</v>
      </c>
      <c r="B102" s="9" t="s">
        <v>509</v>
      </c>
      <c r="C102" s="10" t="s">
        <v>521</v>
      </c>
      <c r="D102" s="14" t="s">
        <v>451</v>
      </c>
    </row>
    <row r="103" spans="1:4">
      <c r="A103" s="9">
        <v>290</v>
      </c>
      <c r="B103" s="9" t="s">
        <v>509</v>
      </c>
      <c r="C103" s="10" t="s">
        <v>522</v>
      </c>
      <c r="D103" s="14" t="s">
        <v>335</v>
      </c>
    </row>
    <row r="104" spans="1:4" ht="28">
      <c r="A104" s="9">
        <v>291</v>
      </c>
      <c r="B104" s="9" t="s">
        <v>509</v>
      </c>
      <c r="C104" s="10" t="s">
        <v>523</v>
      </c>
      <c r="D104" s="14" t="s">
        <v>524</v>
      </c>
    </row>
    <row r="105" spans="1:4">
      <c r="A105" s="9">
        <v>292</v>
      </c>
      <c r="B105" s="9" t="s">
        <v>509</v>
      </c>
      <c r="C105" s="10" t="s">
        <v>525</v>
      </c>
      <c r="D105" s="14" t="s">
        <v>526</v>
      </c>
    </row>
    <row r="106" spans="1:4">
      <c r="A106" s="9">
        <v>293</v>
      </c>
      <c r="B106" s="9" t="s">
        <v>527</v>
      </c>
      <c r="C106" s="10" t="s">
        <v>528</v>
      </c>
      <c r="D106" s="14" t="s">
        <v>529</v>
      </c>
    </row>
    <row r="107" spans="1:4">
      <c r="A107" s="9">
        <v>294</v>
      </c>
      <c r="B107" s="9" t="s">
        <v>527</v>
      </c>
      <c r="C107" s="10" t="s">
        <v>528</v>
      </c>
      <c r="D107" s="14" t="s">
        <v>530</v>
      </c>
    </row>
    <row r="108" spans="1:4">
      <c r="A108" s="9">
        <v>296</v>
      </c>
      <c r="B108" s="9" t="s">
        <v>527</v>
      </c>
      <c r="C108" s="10" t="s">
        <v>531</v>
      </c>
      <c r="D108" s="14" t="s">
        <v>451</v>
      </c>
    </row>
    <row r="109" spans="1:4" ht="28">
      <c r="A109" s="9">
        <v>298</v>
      </c>
      <c r="B109" s="9" t="s">
        <v>527</v>
      </c>
      <c r="C109" s="10" t="s">
        <v>532</v>
      </c>
      <c r="D109" s="14" t="s">
        <v>533</v>
      </c>
    </row>
    <row r="110" spans="1:4">
      <c r="A110" s="9">
        <v>301</v>
      </c>
      <c r="B110" s="9" t="s">
        <v>527</v>
      </c>
      <c r="C110" s="10" t="s">
        <v>534</v>
      </c>
      <c r="D110" s="14" t="s">
        <v>451</v>
      </c>
    </row>
    <row r="111" spans="1:4">
      <c r="A111" s="9">
        <v>302</v>
      </c>
      <c r="B111" s="9" t="s">
        <v>527</v>
      </c>
      <c r="C111" s="10" t="s">
        <v>535</v>
      </c>
      <c r="D111" s="14" t="s">
        <v>451</v>
      </c>
    </row>
    <row r="112" spans="1:4" ht="28">
      <c r="A112" s="9">
        <v>303</v>
      </c>
      <c r="B112" s="9" t="s">
        <v>527</v>
      </c>
      <c r="C112" s="10" t="s">
        <v>536</v>
      </c>
      <c r="D112" s="14" t="s">
        <v>537</v>
      </c>
    </row>
    <row r="113" spans="1:4">
      <c r="A113" s="9">
        <v>308</v>
      </c>
      <c r="B113" s="9" t="s">
        <v>527</v>
      </c>
      <c r="C113" s="10" t="s">
        <v>538</v>
      </c>
      <c r="D113" s="14" t="s">
        <v>539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120" customWidth="1"/>
  </cols>
  <sheetData>
    <row r="1" spans="1:2">
      <c r="A1" s="18" t="s">
        <v>577</v>
      </c>
      <c r="B1" s="18" t="s">
        <v>578</v>
      </c>
    </row>
    <row r="2" spans="1:2">
      <c r="A2" s="9" t="s">
        <v>579</v>
      </c>
      <c r="B2" s="10" t="s">
        <v>580</v>
      </c>
    </row>
    <row r="3" spans="1:2">
      <c r="A3" s="9" t="s">
        <v>581</v>
      </c>
      <c r="B3" s="10" t="s">
        <v>582</v>
      </c>
    </row>
    <row r="4" spans="1:2">
      <c r="A4" s="9" t="s">
        <v>583</v>
      </c>
      <c r="B4" s="10" t="s">
        <v>584</v>
      </c>
    </row>
    <row r="5" spans="1:2">
      <c r="A5" s="9" t="s">
        <v>585</v>
      </c>
      <c r="B5" s="10" t="s">
        <v>586</v>
      </c>
    </row>
    <row r="6" spans="1:2">
      <c r="A6" s="9" t="s">
        <v>587</v>
      </c>
      <c r="B6" s="10" t="s">
        <v>588</v>
      </c>
    </row>
    <row r="7" spans="1:2">
      <c r="A7" s="9" t="s">
        <v>497</v>
      </c>
      <c r="B7" s="10" t="s">
        <v>589</v>
      </c>
    </row>
    <row r="8" spans="1:2">
      <c r="A8" s="9" t="s">
        <v>466</v>
      </c>
      <c r="B8" s="10" t="s">
        <v>590</v>
      </c>
    </row>
    <row r="9" spans="1:2">
      <c r="A9" s="9" t="s">
        <v>449</v>
      </c>
      <c r="B9" s="10" t="s">
        <v>591</v>
      </c>
    </row>
    <row r="10" spans="1:2">
      <c r="A10" s="9" t="s">
        <v>592</v>
      </c>
      <c r="B10" s="10" t="s">
        <v>593</v>
      </c>
    </row>
    <row r="11" spans="1:2">
      <c r="A11" s="9" t="s">
        <v>594</v>
      </c>
      <c r="B11" s="10" t="s">
        <v>595</v>
      </c>
    </row>
    <row r="12" spans="1:2">
      <c r="A12" s="9" t="s">
        <v>596</v>
      </c>
      <c r="B12" s="10" t="s">
        <v>597</v>
      </c>
    </row>
    <row r="13" spans="1:2">
      <c r="A13" s="9" t="s">
        <v>598</v>
      </c>
      <c r="B13" s="10" t="s">
        <v>599</v>
      </c>
    </row>
    <row r="14" spans="1:2" ht="28">
      <c r="A14" s="9" t="s">
        <v>518</v>
      </c>
      <c r="B14" s="10" t="s">
        <v>600</v>
      </c>
    </row>
    <row r="15" spans="1:2">
      <c r="A15" s="9" t="s">
        <v>601</v>
      </c>
      <c r="B15" s="10" t="s">
        <v>602</v>
      </c>
    </row>
    <row r="16" spans="1:2">
      <c r="A16" s="9" t="s">
        <v>603</v>
      </c>
      <c r="B16" s="10" t="s">
        <v>604</v>
      </c>
    </row>
    <row r="17" spans="1:2">
      <c r="A17" s="9" t="s">
        <v>605</v>
      </c>
      <c r="B17" s="10" t="s">
        <v>606</v>
      </c>
    </row>
    <row r="18" spans="1:2">
      <c r="A18" s="9" t="s">
        <v>445</v>
      </c>
      <c r="B18" s="10" t="s">
        <v>607</v>
      </c>
    </row>
    <row r="19" spans="1:2">
      <c r="A19" s="9" t="s">
        <v>481</v>
      </c>
      <c r="B19" s="10" t="s">
        <v>608</v>
      </c>
    </row>
    <row r="20" spans="1:2">
      <c r="A20" s="9" t="s">
        <v>486</v>
      </c>
      <c r="B20" s="10" t="s">
        <v>609</v>
      </c>
    </row>
    <row r="21" spans="1:2">
      <c r="A21" s="9" t="s">
        <v>610</v>
      </c>
      <c r="B21" s="10" t="s">
        <v>611</v>
      </c>
    </row>
    <row r="22" spans="1:2">
      <c r="A22" s="9" t="s">
        <v>487</v>
      </c>
      <c r="B22" s="10" t="s">
        <v>612</v>
      </c>
    </row>
    <row r="23" spans="1:2">
      <c r="A23" s="9" t="s">
        <v>613</v>
      </c>
      <c r="B23" s="10" t="s">
        <v>614</v>
      </c>
    </row>
    <row r="24" spans="1:2">
      <c r="A24" s="9" t="s">
        <v>615</v>
      </c>
      <c r="B24" s="10" t="s">
        <v>616</v>
      </c>
    </row>
    <row r="25" spans="1:2">
      <c r="A25" s="9" t="s">
        <v>454</v>
      </c>
      <c r="B25" s="10" t="s">
        <v>617</v>
      </c>
    </row>
    <row r="26" spans="1:2">
      <c r="A26" s="9" t="s">
        <v>618</v>
      </c>
      <c r="B26" s="10" t="s">
        <v>619</v>
      </c>
    </row>
    <row r="27" spans="1:2">
      <c r="A27" s="9" t="s">
        <v>385</v>
      </c>
      <c r="B27" s="10" t="s">
        <v>620</v>
      </c>
    </row>
    <row r="28" spans="1:2">
      <c r="A28" s="9" t="s">
        <v>621</v>
      </c>
      <c r="B28" s="10" t="s">
        <v>622</v>
      </c>
    </row>
    <row r="29" spans="1:2">
      <c r="A29" s="9" t="s">
        <v>43</v>
      </c>
      <c r="B29" s="10" t="s">
        <v>43</v>
      </c>
    </row>
    <row r="30" spans="1:2">
      <c r="A30" s="9" t="s">
        <v>623</v>
      </c>
      <c r="B30" s="10" t="s">
        <v>624</v>
      </c>
    </row>
    <row r="31" spans="1:2">
      <c r="A31" s="9" t="s">
        <v>625</v>
      </c>
      <c r="B31" s="10" t="s">
        <v>626</v>
      </c>
    </row>
    <row r="32" spans="1:2">
      <c r="A32" s="9" t="s">
        <v>627</v>
      </c>
      <c r="B32" s="10" t="s">
        <v>628</v>
      </c>
    </row>
    <row r="33" spans="1:2">
      <c r="A33" s="9" t="s">
        <v>469</v>
      </c>
      <c r="B33" s="10" t="s">
        <v>629</v>
      </c>
    </row>
    <row r="34" spans="1:2">
      <c r="A34" s="9" t="s">
        <v>630</v>
      </c>
      <c r="B34" s="10" t="s">
        <v>631</v>
      </c>
    </row>
    <row r="35" spans="1:2">
      <c r="A35" s="9" t="s">
        <v>632</v>
      </c>
      <c r="B35" s="10" t="s">
        <v>633</v>
      </c>
    </row>
    <row r="36" spans="1:2">
      <c r="A36" s="9" t="s">
        <v>634</v>
      </c>
      <c r="B36" s="10" t="s">
        <v>635</v>
      </c>
    </row>
    <row r="37" spans="1:2">
      <c r="A37" s="9" t="s">
        <v>636</v>
      </c>
      <c r="B37" s="10" t="s">
        <v>637</v>
      </c>
    </row>
    <row r="38" spans="1:2">
      <c r="A38" s="9" t="s">
        <v>638</v>
      </c>
      <c r="B38" s="10" t="s">
        <v>638</v>
      </c>
    </row>
    <row r="39" spans="1:2" ht="28">
      <c r="A39" s="9" t="s">
        <v>639</v>
      </c>
      <c r="B39" s="10" t="s">
        <v>640</v>
      </c>
    </row>
    <row r="40" spans="1:2" ht="42">
      <c r="A40" s="9" t="s">
        <v>641</v>
      </c>
      <c r="B40" s="10" t="s">
        <v>642</v>
      </c>
    </row>
    <row r="41" spans="1:2">
      <c r="A41" s="9" t="s">
        <v>643</v>
      </c>
      <c r="B41" s="10" t="s">
        <v>644</v>
      </c>
    </row>
    <row r="42" spans="1:2">
      <c r="A42" s="9" t="s">
        <v>49</v>
      </c>
      <c r="B42" s="10" t="s">
        <v>645</v>
      </c>
    </row>
    <row r="43" spans="1:2">
      <c r="A43" s="9" t="s">
        <v>646</v>
      </c>
      <c r="B43" s="10" t="s">
        <v>647</v>
      </c>
    </row>
    <row r="44" spans="1:2">
      <c r="A44" s="9" t="s">
        <v>312</v>
      </c>
      <c r="B44" s="10" t="s">
        <v>312</v>
      </c>
    </row>
    <row r="45" spans="1:2">
      <c r="A45" s="9" t="s">
        <v>648</v>
      </c>
      <c r="B45" s="10" t="s">
        <v>649</v>
      </c>
    </row>
    <row r="46" spans="1:2">
      <c r="A46" s="9" t="s">
        <v>650</v>
      </c>
      <c r="B46" s="10" t="s">
        <v>651</v>
      </c>
    </row>
    <row r="47" spans="1:2">
      <c r="A47" s="9" t="s">
        <v>652</v>
      </c>
      <c r="B47" s="10" t="s">
        <v>652</v>
      </c>
    </row>
    <row r="48" spans="1:2">
      <c r="A48" s="9" t="s">
        <v>653</v>
      </c>
      <c r="B48" s="10" t="s">
        <v>653</v>
      </c>
    </row>
    <row r="49" spans="1:2">
      <c r="A49" s="9" t="s">
        <v>654</v>
      </c>
      <c r="B49" s="10" t="s">
        <v>655</v>
      </c>
    </row>
    <row r="50" spans="1:2">
      <c r="A50" s="9" t="s">
        <v>656</v>
      </c>
      <c r="B50" s="10" t="s">
        <v>657</v>
      </c>
    </row>
    <row r="51" spans="1:2">
      <c r="A51" s="9" t="s">
        <v>658</v>
      </c>
      <c r="B51" s="10" t="s">
        <v>659</v>
      </c>
    </row>
    <row r="52" spans="1:2">
      <c r="A52" s="9" t="s">
        <v>660</v>
      </c>
      <c r="B52" s="10" t="s">
        <v>660</v>
      </c>
    </row>
    <row r="53" spans="1:2">
      <c r="A53" s="9" t="s">
        <v>661</v>
      </c>
      <c r="B53" s="10" t="s">
        <v>662</v>
      </c>
    </row>
    <row r="54" spans="1:2">
      <c r="A54" s="9" t="s">
        <v>390</v>
      </c>
      <c r="B54" s="10" t="s">
        <v>663</v>
      </c>
    </row>
    <row r="55" spans="1:2" ht="56">
      <c r="A55" s="9" t="s">
        <v>664</v>
      </c>
      <c r="B55" s="10" t="s">
        <v>665</v>
      </c>
    </row>
    <row r="56" spans="1:2">
      <c r="A56" s="9" t="s">
        <v>666</v>
      </c>
      <c r="B56" s="10" t="s">
        <v>666</v>
      </c>
    </row>
    <row r="57" spans="1:2">
      <c r="A57" s="9" t="s">
        <v>178</v>
      </c>
      <c r="B57" s="10" t="s">
        <v>667</v>
      </c>
    </row>
    <row r="58" spans="1:2">
      <c r="A58" s="9" t="s">
        <v>344</v>
      </c>
      <c r="B58" s="10" t="s">
        <v>668</v>
      </c>
    </row>
    <row r="59" spans="1:2" ht="42">
      <c r="A59" s="9" t="s">
        <v>669</v>
      </c>
      <c r="B59" s="10" t="s">
        <v>670</v>
      </c>
    </row>
    <row r="60" spans="1:2">
      <c r="A60" s="9" t="s">
        <v>671</v>
      </c>
      <c r="B60" s="10" t="s">
        <v>672</v>
      </c>
    </row>
    <row r="61" spans="1:2">
      <c r="A61" s="9" t="s">
        <v>673</v>
      </c>
      <c r="B61" s="10" t="s">
        <v>673</v>
      </c>
    </row>
    <row r="62" spans="1:2">
      <c r="A62" s="9" t="s">
        <v>380</v>
      </c>
      <c r="B62" s="10" t="s">
        <v>380</v>
      </c>
    </row>
    <row r="63" spans="1:2">
      <c r="A63" s="9" t="s">
        <v>674</v>
      </c>
      <c r="B63" s="10" t="s">
        <v>675</v>
      </c>
    </row>
    <row r="64" spans="1:2">
      <c r="A64" s="9" t="s">
        <v>676</v>
      </c>
      <c r="B64" s="10" t="s">
        <v>677</v>
      </c>
    </row>
    <row r="65" spans="1:2">
      <c r="A65" s="9" t="s">
        <v>678</v>
      </c>
      <c r="B65" s="10" t="s">
        <v>678</v>
      </c>
    </row>
    <row r="66" spans="1:2">
      <c r="A66" s="9" t="s">
        <v>679</v>
      </c>
      <c r="B66" s="10" t="s">
        <v>680</v>
      </c>
    </row>
    <row r="67" spans="1:2">
      <c r="A67" s="9" t="s">
        <v>170</v>
      </c>
      <c r="B67" s="10" t="s">
        <v>681</v>
      </c>
    </row>
    <row r="68" spans="1:2" ht="28">
      <c r="A68" s="9" t="s">
        <v>682</v>
      </c>
      <c r="B68" s="10" t="s">
        <v>683</v>
      </c>
    </row>
    <row r="69" spans="1:2">
      <c r="A69" s="9" t="s">
        <v>684</v>
      </c>
      <c r="B69" s="10" t="s">
        <v>684</v>
      </c>
    </row>
    <row r="70" spans="1:2">
      <c r="A70" s="9" t="s">
        <v>685</v>
      </c>
      <c r="B70" s="10" t="s">
        <v>685</v>
      </c>
    </row>
    <row r="71" spans="1:2">
      <c r="A71" s="9" t="s">
        <v>686</v>
      </c>
      <c r="B71" s="10" t="s">
        <v>687</v>
      </c>
    </row>
    <row r="72" spans="1:2">
      <c r="A72" s="9" t="s">
        <v>688</v>
      </c>
      <c r="B72" s="10" t="s">
        <v>688</v>
      </c>
    </row>
    <row r="73" spans="1:2" ht="28">
      <c r="A73" s="9" t="s">
        <v>100</v>
      </c>
      <c r="B73" s="10" t="s">
        <v>689</v>
      </c>
    </row>
    <row r="74" spans="1:2">
      <c r="A74" s="9" t="s">
        <v>690</v>
      </c>
      <c r="B74" s="10" t="s">
        <v>690</v>
      </c>
    </row>
    <row r="75" spans="1:2">
      <c r="A75" s="9" t="s">
        <v>691</v>
      </c>
      <c r="B75" s="10" t="s">
        <v>692</v>
      </c>
    </row>
    <row r="76" spans="1:2">
      <c r="A76" s="9" t="s">
        <v>693</v>
      </c>
      <c r="B76" s="10" t="s">
        <v>694</v>
      </c>
    </row>
    <row r="77" spans="1:2">
      <c r="A77" s="9" t="s">
        <v>695</v>
      </c>
      <c r="B77" s="10" t="s">
        <v>695</v>
      </c>
    </row>
    <row r="78" spans="1:2" ht="28">
      <c r="A78" s="9" t="s">
        <v>140</v>
      </c>
      <c r="B78" s="10" t="s">
        <v>696</v>
      </c>
    </row>
    <row r="79" spans="1:2" ht="28">
      <c r="A79" s="9" t="s">
        <v>697</v>
      </c>
      <c r="B79" s="10" t="s">
        <v>698</v>
      </c>
    </row>
    <row r="80" spans="1:2">
      <c r="A80" s="9" t="s">
        <v>155</v>
      </c>
      <c r="B80" s="10" t="s">
        <v>699</v>
      </c>
    </row>
    <row r="81" spans="1:2">
      <c r="A81" s="9" t="s">
        <v>700</v>
      </c>
      <c r="B81" s="10" t="s">
        <v>701</v>
      </c>
    </row>
    <row r="82" spans="1:2">
      <c r="A82" s="9" t="s">
        <v>428</v>
      </c>
      <c r="B82" s="10" t="s">
        <v>702</v>
      </c>
    </row>
    <row r="83" spans="1:2">
      <c r="A83" s="9" t="s">
        <v>703</v>
      </c>
      <c r="B83" s="10" t="s">
        <v>703</v>
      </c>
    </row>
    <row r="84" spans="1:2">
      <c r="A84" s="9" t="s">
        <v>704</v>
      </c>
      <c r="B84" s="10" t="s">
        <v>704</v>
      </c>
    </row>
    <row r="85" spans="1:2">
      <c r="A85" s="9" t="s">
        <v>705</v>
      </c>
      <c r="B85" s="10" t="s">
        <v>706</v>
      </c>
    </row>
    <row r="86" spans="1:2">
      <c r="A86" s="9" t="s">
        <v>707</v>
      </c>
      <c r="B86" s="10" t="s">
        <v>707</v>
      </c>
    </row>
    <row r="87" spans="1:2">
      <c r="A87" s="9" t="s">
        <v>708</v>
      </c>
      <c r="B87" s="10" t="s">
        <v>708</v>
      </c>
    </row>
    <row r="88" spans="1:2">
      <c r="A88" s="9" t="s">
        <v>709</v>
      </c>
      <c r="B88" s="10" t="s">
        <v>709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待入库明细</vt:lpstr>
      <vt:lpstr>品牌对照</vt:lpstr>
      <vt:lpstr>存疑清单</vt:lpstr>
      <vt:lpstr>系统现有分类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沈逸帆</cp:lastModifiedBy>
  <dcterms:created xsi:type="dcterms:W3CDTF">2026-08-23T07:02:19Z</dcterms:created>
  <dcterms:modified xsi:type="dcterms:W3CDTF">2026-08-26T08:44:12Z</dcterms:modified>
</cp:coreProperties>
</file>